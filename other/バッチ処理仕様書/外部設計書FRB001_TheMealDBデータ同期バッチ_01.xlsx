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s repository\foodRecipeAppnew\other\バッチ処理仕様書\"/>
    </mc:Choice>
  </mc:AlternateContent>
  <xr:revisionPtr revIDLastSave="0" documentId="13_ncr:1_{CEEBB580-289E-473F-AC3C-A0903D675688}" xr6:coauthVersionLast="47" xr6:coauthVersionMax="47" xr10:uidLastSave="{00000000-0000-0000-0000-000000000000}"/>
  <bookViews>
    <workbookView xWindow="-12" yWindow="-16308" windowWidth="29016" windowHeight="15696" activeTab="3" xr2:uid="{4072CC5B-1008-407C-98CB-1192825A098F}"/>
  </bookViews>
  <sheets>
    <sheet name="表紙" sheetId="11" r:id="rId1"/>
    <sheet name="改訂履歴" sheetId="12" r:id="rId2"/>
    <sheet name="処理概要" sheetId="25" r:id="rId3"/>
    <sheet name="処理フロー" sheetId="2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8" i="12" l="1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</calcChain>
</file>

<file path=xl/sharedStrings.xml><?xml version="1.0" encoding="utf-8"?>
<sst xmlns="http://schemas.openxmlformats.org/spreadsheetml/2006/main" count="254" uniqueCount="80">
  <si>
    <t>作成日：</t>
    <rPh sb="0" eb="3">
      <t>サクセイビ</t>
    </rPh>
    <phoneticPr fontId="1"/>
  </si>
  <si>
    <t>作成者：</t>
    <rPh sb="0" eb="3">
      <t>サクセイシャ</t>
    </rPh>
    <phoneticPr fontId="1"/>
  </si>
  <si>
    <t>【改訂履歴】</t>
    <rPh sb="1" eb="5">
      <t>カイテイリレキ</t>
    </rPh>
    <phoneticPr fontId="1"/>
  </si>
  <si>
    <t>項番</t>
    <rPh sb="0" eb="2">
      <t>コウバン</t>
    </rPh>
    <phoneticPr fontId="1"/>
  </si>
  <si>
    <t>版数</t>
    <rPh sb="0" eb="2">
      <t>ハンスウ</t>
    </rPh>
    <phoneticPr fontId="1"/>
  </si>
  <si>
    <t>変更箇所</t>
    <rPh sb="0" eb="4">
      <t>ヘンコウカショ</t>
    </rPh>
    <phoneticPr fontId="1"/>
  </si>
  <si>
    <t>変更内容</t>
    <rPh sb="0" eb="2">
      <t>ヘンコウ</t>
    </rPh>
    <rPh sb="2" eb="4">
      <t>ナイヨウ</t>
    </rPh>
    <phoneticPr fontId="1"/>
  </si>
  <si>
    <t>変更理由</t>
    <rPh sb="0" eb="2">
      <t>ヘンコウ</t>
    </rPh>
    <rPh sb="2" eb="4">
      <t>リユウ</t>
    </rPh>
    <phoneticPr fontId="1"/>
  </si>
  <si>
    <t>作成日/変更日</t>
    <rPh sb="0" eb="3">
      <t>サクセイビ</t>
    </rPh>
    <rPh sb="4" eb="7">
      <t>ヘンコウビ</t>
    </rPh>
    <phoneticPr fontId="1"/>
  </si>
  <si>
    <t>作成者/変更者</t>
    <rPh sb="0" eb="3">
      <t>サクセイシャ</t>
    </rPh>
    <rPh sb="4" eb="7">
      <t>ヘンコウシャ</t>
    </rPh>
    <phoneticPr fontId="1"/>
  </si>
  <si>
    <t>備考</t>
    <rPh sb="0" eb="2">
      <t>ビコウ</t>
    </rPh>
    <phoneticPr fontId="1"/>
  </si>
  <si>
    <t/>
  </si>
  <si>
    <t>説明</t>
    <rPh sb="0" eb="2">
      <t>セツメイ</t>
    </rPh>
    <phoneticPr fontId="1"/>
  </si>
  <si>
    <t>プロジェクト名</t>
    <rPh sb="6" eb="7">
      <t>メイ</t>
    </rPh>
    <phoneticPr fontId="1"/>
  </si>
  <si>
    <t>機能名</t>
    <rPh sb="0" eb="3">
      <t>キノウメイ</t>
    </rPh>
    <phoneticPr fontId="1"/>
  </si>
  <si>
    <t>システム名</t>
    <rPh sb="4" eb="5">
      <t>メイ</t>
    </rPh>
    <phoneticPr fontId="1"/>
  </si>
  <si>
    <t>業務名</t>
    <rPh sb="0" eb="3">
      <t>ギョウムメイ</t>
    </rPh>
    <phoneticPr fontId="1"/>
  </si>
  <si>
    <t>作成日</t>
    <rPh sb="0" eb="3">
      <t>サクセイビ</t>
    </rPh>
    <phoneticPr fontId="1"/>
  </si>
  <si>
    <t>作成者</t>
    <rPh sb="0" eb="3">
      <t>サクセイシャ</t>
    </rPh>
    <phoneticPr fontId="1"/>
  </si>
  <si>
    <t>更新日</t>
    <rPh sb="0" eb="3">
      <t>コウシンビ</t>
    </rPh>
    <phoneticPr fontId="1"/>
  </si>
  <si>
    <t>更新者</t>
    <rPh sb="0" eb="3">
      <t>コウシンシャ</t>
    </rPh>
    <phoneticPr fontId="1"/>
  </si>
  <si>
    <t>機能ID</t>
    <rPh sb="0" eb="2">
      <t>キノウ</t>
    </rPh>
    <phoneticPr fontId="1"/>
  </si>
  <si>
    <t>No</t>
  </si>
  <si>
    <t>1.本書の目的</t>
    <rPh sb="5" eb="7">
      <t>モクテキ</t>
    </rPh>
    <phoneticPr fontId="1"/>
  </si>
  <si>
    <t>2.処理概要</t>
    <rPh sb="2" eb="4">
      <t>ショリ</t>
    </rPh>
    <rPh sb="4" eb="6">
      <t>ガイヨウ</t>
    </rPh>
    <phoneticPr fontId="1"/>
  </si>
  <si>
    <t>3.前提条件</t>
    <rPh sb="2" eb="6">
      <t>ゼンテイジョウケン</t>
    </rPh>
    <phoneticPr fontId="1"/>
  </si>
  <si>
    <t>5.オブジェクト構成</t>
    <phoneticPr fontId="1"/>
  </si>
  <si>
    <t>外部設計書</t>
  </si>
  <si>
    <t>202６/07/07</t>
  </si>
  <si>
    <t>ホアントゥアンアイン</t>
  </si>
  <si>
    <t>新規作成</t>
  </si>
  <si>
    <t>foodRecipeApp</t>
  </si>
  <si>
    <t>AnhHT4</t>
  </si>
  <si>
    <t>レシピ管理</t>
  </si>
  <si>
    <t>フードレシピシステム</t>
  </si>
  <si>
    <t>FRB001</t>
  </si>
  <si>
    <t>TheMealDBデータ同期バッチ</t>
  </si>
  <si>
    <t>1. ローカルデータベースサーバーが正常に起動しており、接続可能であること。</t>
  </si>
  <si>
    <t>2. 外部API（TheMealDB）へのインターネット接続が可能であり、APIサービスが停止していないこと。</t>
  </si>
  <si>
    <t>実行サイクル：日次</t>
  </si>
  <si>
    <t>起動タイミング：毎日深夜 02:00 Japan</t>
  </si>
  <si>
    <t>物理名</t>
  </si>
  <si>
    <t>論理名</t>
  </si>
  <si>
    <t>categories</t>
  </si>
  <si>
    <t>meals</t>
  </si>
  <si>
    <t>ingredients</t>
  </si>
  <si>
    <t>meal_ingredients</t>
  </si>
  <si>
    <t>カテゴリテーブル</t>
  </si>
  <si>
    <t>レシピテーブル</t>
  </si>
  <si>
    <t>材料テーブル</t>
  </si>
  <si>
    <t>レシピ材料関連テーブル</t>
  </si>
  <si>
    <t>DBへ接続</t>
  </si>
  <si>
    <t>ステップ 1: 初期設定処理する</t>
  </si>
  <si>
    <t>FRB001＿TheMealDBデータ同期バッチ</t>
  </si>
  <si>
    <t>AnhHT４</t>
  </si>
  <si>
    <t>外部API（TheMealDB）から最新のカテゴリおよびレシピデータを取得し、データベースに同期するバッチ処理（FRB001）の外部設計書</t>
  </si>
  <si>
    <t>の各画面・機能が外部APIへ直接リクエストを送らず、ローカルデータベースから高速かつ安定してデータを取得できるようにする。</t>
  </si>
  <si>
    <t>本バッチは、TheMealDB APIからデータを取得し、データベースのカテゴリテーブル（categories）およびレシピテーブル（recipes）へデータを登録・更新（クローン）する。これにより、システム内</t>
  </si>
  <si>
    <r>
      <t>各カテゴリ名を使って外部API（</t>
    </r>
    <r>
      <rPr>
        <sz val="10"/>
        <color rgb="FFFF0000"/>
        <rFont val="メイリオ"/>
        <family val="3"/>
        <charset val="128"/>
      </rPr>
      <t>https://www.themealdb.com/api/json/v1/1/filter.php?</t>
    </r>
  </si>
  <si>
    <r>
      <rPr>
        <sz val="10"/>
        <color rgb="FFFF0000"/>
        <rFont val="メイリオ"/>
        <family val="3"/>
        <charset val="128"/>
      </rPr>
      <t>c=${categoryName}</t>
    </r>
    <r>
      <rPr>
        <sz val="10"/>
        <color theme="1"/>
        <rFont val="メイリオ"/>
        <family val="3"/>
        <charset val="128"/>
      </rPr>
      <t>）を呼び出し、所属するレシピのID（idMeal）一覧を取得する。</t>
    </r>
  </si>
  <si>
    <t>（measure）を設定して登録・更新（UPSERT）する。</t>
  </si>
  <si>
    <t>同期した categories テーブルからカテゴリ名（str_category）を1つずつループ処理で取得する。</t>
  </si>
  <si>
    <t>ステップ 2: カテゴリ情報の取得と同期</t>
  </si>
  <si>
    <t>ステップ4:レシピ詳細情報の取得と保存</t>
  </si>
  <si>
    <r>
      <t>ステップ 4.1:</t>
    </r>
    <r>
      <rPr>
        <sz val="10"/>
        <color theme="1"/>
        <rFont val="メイリオ"/>
        <family val="3"/>
        <charset val="128"/>
      </rPr>
      <t xml:space="preserve"> meals テーブルへレシピ基本情報を登録・更新する。</t>
    </r>
  </si>
  <si>
    <r>
      <t>ステップ 4.2:</t>
    </r>
    <r>
      <rPr>
        <sz val="10"/>
        <color theme="1"/>
        <rFont val="メイリオ"/>
        <family val="3"/>
        <charset val="128"/>
      </rPr>
      <t xml:space="preserve"> APIから返ってきた材料名（strIngredient1〜20）をループし、空でない</t>
    </r>
  </si>
  <si>
    <r>
      <t>Step 4.3:</t>
    </r>
    <r>
      <rPr>
        <sz val="10"/>
        <color theme="1"/>
        <rFont val="メイリオ"/>
        <family val="3"/>
        <charset val="128"/>
      </rPr>
      <t xml:space="preserve"> 中間テーブル meal_ingredients に対し、meal_id、ingredient_id、および分量</t>
    </r>
  </si>
  <si>
    <t>を取得する。</t>
  </si>
  <si>
    <r>
      <t>外部API（</t>
    </r>
    <r>
      <rPr>
        <sz val="10"/>
        <color rgb="FFFF0000"/>
        <rFont val="メイリオ"/>
        <family val="3"/>
        <charset val="128"/>
      </rPr>
      <t>www.themealdb.com/api/json/v1/1/categories.php</t>
    </r>
    <r>
      <rPr>
        <sz val="10"/>
        <color theme="1"/>
        <rFont val="メイリオ"/>
        <family val="3"/>
        <charset val="128"/>
      </rPr>
      <t>）を呼び出し、全カテゴリデータ</t>
    </r>
  </si>
  <si>
    <t>する。</t>
  </si>
  <si>
    <t>取得したデータをもとに、categories テーブルに対して updateOrCreate を行い、データを同期</t>
  </si>
  <si>
    <r>
      <t>各レシピIDを使って外部API（</t>
    </r>
    <r>
      <rPr>
        <sz val="10"/>
        <color rgb="FFFF0000"/>
        <rFont val="メイリオ"/>
        <family val="3"/>
        <charset val="128"/>
      </rPr>
      <t>www.themealdb.com/api/json/v1/1/lookup.php?i={レシピID}</t>
    </r>
  </si>
  <si>
    <t>）から詳細情報を取得する。</t>
  </si>
  <si>
    <t>きないため、原因を直したらバッチを再実行するのみで安全にリカバリできる。</t>
  </si>
  <si>
    <t>エラー発生時は処理を止めてログを残し、異常終了する。UPSERT設計により重複が起</t>
  </si>
  <si>
    <t>ものを抽出。ingredients テーブルに登録・更新して 自動採番された id（以降、ingredient_id と</t>
  </si>
  <si>
    <t>して扱う）を取得する。</t>
  </si>
  <si>
    <t>4.処理サイクル・タイミング</t>
  </si>
  <si>
    <t>ステップ 3で取得したレシピID（idMeal）をループ処理する。</t>
  </si>
  <si>
    <t>ステップ3: 料理一覧取得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</si>
</sst>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rial"/>
      <family val="2"/>
      <charset val="128"/>
      <scheme val="minor"/>
    </font>
    <font>
      <sz val="6"/>
      <name val="Arial"/>
      <family val="2"/>
      <charset val="128"/>
      <scheme val="minor"/>
    </font>
    <font>
      <sz val="11"/>
      <color rgb="FF000000"/>
      <name val="MS PGothic"/>
      <family val="3"/>
      <charset val="128"/>
    </font>
    <font>
      <sz val="11"/>
      <color theme="1" tint="0.249977111117893"/>
      <name val="游ゴシック Medium"/>
      <family val="3"/>
      <charset val="128"/>
    </font>
    <font>
      <b/>
      <u/>
      <sz val="16"/>
      <color theme="1" tint="0.249977111117893"/>
      <name val="游ゴシック Medium"/>
      <family val="3"/>
      <charset val="128"/>
    </font>
    <font>
      <b/>
      <sz val="18"/>
      <color theme="1" tint="0.249977111117893"/>
      <name val="游ゴシック Medium"/>
      <family val="3"/>
      <charset val="128"/>
    </font>
    <font>
      <b/>
      <sz val="28"/>
      <color theme="1" tint="0.249977111117893"/>
      <name val="游ゴシック Medium"/>
      <family val="3"/>
      <charset val="128"/>
    </font>
    <font>
      <b/>
      <sz val="36"/>
      <color theme="1" tint="0.249977111117893"/>
      <name val="游ゴシック Medium"/>
      <family val="3"/>
      <charset val="128"/>
    </font>
    <font>
      <sz val="10"/>
      <color theme="1" tint="0.249977111117893"/>
      <name val="游ゴシック Medium"/>
      <family val="3"/>
      <charset val="128"/>
    </font>
    <font>
      <b/>
      <sz val="10"/>
      <color theme="1" tint="0.249977111117893"/>
      <name val="游ゴシック Medium"/>
      <family val="3"/>
      <charset val="128"/>
    </font>
    <font>
      <b/>
      <sz val="11"/>
      <color theme="1" tint="0.249977111117893"/>
      <name val="游ゴシック Medium"/>
      <family val="3"/>
      <charset val="128"/>
    </font>
    <font>
      <sz val="11"/>
      <name val="ＭＳ Ｐゴシック"/>
      <family val="3"/>
      <charset val="128"/>
    </font>
    <font>
      <sz val="1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10"/>
      <color theme="0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0"/>
      <color rgb="FFFF0000"/>
      <name val="メイリオ"/>
      <family val="3"/>
      <charset val="128"/>
    </font>
    <font>
      <sz val="11"/>
      <color theme="0"/>
      <name val="メイリオ"/>
      <family val="3"/>
      <charset val="128"/>
    </font>
    <font>
      <sz val="11"/>
      <color theme="4"/>
      <name val="Arial"/>
      <family val="2"/>
      <charset val="128"/>
      <scheme val="minor"/>
    </font>
    <font>
      <sz val="10"/>
      <color theme="4"/>
      <name val="メイリオ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42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2" fillId="0" borderId="0"/>
    <xf numFmtId="0" fontId="11" fillId="0" borderId="0">
      <alignment vertical="center"/>
    </xf>
  </cellStyleXfs>
  <cellXfs count="107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10" fillId="2" borderId="0" xfId="0" applyFont="1" applyFill="1" applyAlignment="1">
      <alignment horizontal="right" vertical="center"/>
    </xf>
    <xf numFmtId="14" fontId="10" fillId="2" borderId="0" xfId="0" applyNumberFormat="1" applyFont="1" applyFill="1" applyAlignment="1">
      <alignment horizontal="left" vertical="center"/>
    </xf>
    <xf numFmtId="0" fontId="10" fillId="2" borderId="0" xfId="0" applyFont="1" applyFill="1">
      <alignment vertical="center"/>
    </xf>
    <xf numFmtId="0" fontId="10" fillId="2" borderId="0" xfId="0" applyFont="1" applyFill="1" applyAlignment="1">
      <alignment horizontal="left" vertical="center"/>
    </xf>
    <xf numFmtId="0" fontId="13" fillId="2" borderId="0" xfId="0" applyFont="1" applyFill="1">
      <alignment vertical="center"/>
    </xf>
    <xf numFmtId="0" fontId="14" fillId="2" borderId="18" xfId="0" applyFont="1" applyFill="1" applyBorder="1">
      <alignment vertical="center"/>
    </xf>
    <xf numFmtId="0" fontId="14" fillId="2" borderId="19" xfId="0" applyFont="1" applyFill="1" applyBorder="1">
      <alignment vertical="center"/>
    </xf>
    <xf numFmtId="0" fontId="14" fillId="0" borderId="19" xfId="0" applyFont="1" applyBorder="1">
      <alignment vertical="center"/>
    </xf>
    <xf numFmtId="0" fontId="14" fillId="2" borderId="20" xfId="0" applyFont="1" applyFill="1" applyBorder="1">
      <alignment vertical="center"/>
    </xf>
    <xf numFmtId="0" fontId="14" fillId="0" borderId="0" xfId="0" applyFont="1">
      <alignment vertical="center"/>
    </xf>
    <xf numFmtId="0" fontId="14" fillId="2" borderId="13" xfId="0" applyFont="1" applyFill="1" applyBorder="1">
      <alignment vertical="center"/>
    </xf>
    <xf numFmtId="0" fontId="14" fillId="2" borderId="14" xfId="0" applyFont="1" applyFill="1" applyBorder="1">
      <alignment vertical="center"/>
    </xf>
    <xf numFmtId="0" fontId="14" fillId="2" borderId="0" xfId="0" applyFont="1" applyFill="1" applyBorder="1">
      <alignment vertical="center"/>
    </xf>
    <xf numFmtId="0" fontId="15" fillId="4" borderId="2" xfId="0" applyFont="1" applyFill="1" applyBorder="1">
      <alignment vertical="center"/>
    </xf>
    <xf numFmtId="0" fontId="15" fillId="4" borderId="3" xfId="0" applyFont="1" applyFill="1" applyBorder="1">
      <alignment vertical="center"/>
    </xf>
    <xf numFmtId="0" fontId="15" fillId="4" borderId="6" xfId="0" applyFont="1" applyFill="1" applyBorder="1">
      <alignment vertical="center"/>
    </xf>
    <xf numFmtId="0" fontId="15" fillId="4" borderId="0" xfId="0" applyFont="1" applyFill="1" applyBorder="1">
      <alignment vertical="center"/>
    </xf>
    <xf numFmtId="0" fontId="15" fillId="4" borderId="7" xfId="0" applyFont="1" applyFill="1" applyBorder="1">
      <alignment vertical="center"/>
    </xf>
    <xf numFmtId="0" fontId="14" fillId="2" borderId="6" xfId="0" applyFont="1" applyFill="1" applyBorder="1">
      <alignment vertical="center"/>
    </xf>
    <xf numFmtId="0" fontId="14" fillId="2" borderId="5" xfId="0" applyFont="1" applyFill="1" applyBorder="1">
      <alignment vertical="center"/>
    </xf>
    <xf numFmtId="0" fontId="14" fillId="2" borderId="7" xfId="0" applyFont="1" applyFill="1" applyBorder="1">
      <alignment vertical="center"/>
    </xf>
    <xf numFmtId="0" fontId="14" fillId="2" borderId="11" xfId="0" applyFont="1" applyFill="1" applyBorder="1">
      <alignment vertical="center"/>
    </xf>
    <xf numFmtId="0" fontId="14" fillId="2" borderId="12" xfId="0" applyFont="1" applyFill="1" applyBorder="1">
      <alignment vertical="center"/>
    </xf>
    <xf numFmtId="0" fontId="17" fillId="2" borderId="0" xfId="0" applyFont="1" applyFill="1" applyBorder="1">
      <alignment vertical="center"/>
    </xf>
    <xf numFmtId="0" fontId="13" fillId="0" borderId="0" xfId="0" applyFont="1">
      <alignment vertical="center"/>
    </xf>
    <xf numFmtId="49" fontId="12" fillId="0" borderId="11" xfId="2" applyNumberFormat="1" applyFont="1" applyBorder="1">
      <alignment vertical="center"/>
    </xf>
    <xf numFmtId="0" fontId="14" fillId="2" borderId="0" xfId="0" applyFont="1" applyFill="1">
      <alignment vertical="center"/>
    </xf>
    <xf numFmtId="0" fontId="14" fillId="0" borderId="0" xfId="0" applyFont="1" applyBorder="1">
      <alignment vertical="center"/>
    </xf>
    <xf numFmtId="0" fontId="16" fillId="2" borderId="0" xfId="0" applyFont="1" applyFill="1">
      <alignment vertical="center"/>
    </xf>
    <xf numFmtId="0" fontId="14" fillId="2" borderId="8" xfId="0" applyFont="1" applyFill="1" applyBorder="1">
      <alignment vertical="center"/>
    </xf>
    <xf numFmtId="0" fontId="14" fillId="2" borderId="9" xfId="0" applyFont="1" applyFill="1" applyBorder="1">
      <alignment vertical="center"/>
    </xf>
    <xf numFmtId="0" fontId="14" fillId="2" borderId="10" xfId="0" applyFont="1" applyFill="1" applyBorder="1">
      <alignment vertical="center"/>
    </xf>
    <xf numFmtId="0" fontId="14" fillId="2" borderId="15" xfId="0" applyFont="1" applyFill="1" applyBorder="1">
      <alignment vertical="center"/>
    </xf>
    <xf numFmtId="0" fontId="14" fillId="2" borderId="16" xfId="0" applyFont="1" applyFill="1" applyBorder="1">
      <alignment vertical="center"/>
    </xf>
    <xf numFmtId="0" fontId="14" fillId="2" borderId="17" xfId="0" applyFont="1" applyFill="1" applyBorder="1">
      <alignment vertical="center"/>
    </xf>
    <xf numFmtId="0" fontId="17" fillId="0" borderId="11" xfId="0" applyFont="1" applyBorder="1">
      <alignment vertical="center"/>
    </xf>
    <xf numFmtId="0" fontId="17" fillId="2" borderId="11" xfId="0" applyFont="1" applyFill="1" applyBorder="1">
      <alignment vertical="center"/>
    </xf>
    <xf numFmtId="0" fontId="13" fillId="2" borderId="0" xfId="0" applyFont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3" fillId="0" borderId="1" xfId="0" applyFont="1" applyBorder="1">
      <alignment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4" borderId="2" xfId="0" applyFont="1" applyFill="1" applyBorder="1" applyAlignment="1">
      <alignment vertical="center"/>
    </xf>
    <xf numFmtId="0" fontId="15" fillId="4" borderId="3" xfId="0" applyFont="1" applyFill="1" applyBorder="1" applyAlignment="1">
      <alignment vertical="center"/>
    </xf>
    <xf numFmtId="0" fontId="15" fillId="4" borderId="4" xfId="0" applyFont="1" applyFill="1" applyBorder="1" applyAlignment="1">
      <alignment vertical="center"/>
    </xf>
    <xf numFmtId="0" fontId="14" fillId="2" borderId="2" xfId="0" applyFont="1" applyFill="1" applyBorder="1" applyAlignment="1">
      <alignment vertical="center"/>
    </xf>
    <xf numFmtId="0" fontId="14" fillId="2" borderId="3" xfId="0" applyFont="1" applyFill="1" applyBorder="1" applyAlignment="1">
      <alignment vertical="center"/>
    </xf>
    <xf numFmtId="0" fontId="14" fillId="2" borderId="4" xfId="0" applyFont="1" applyFill="1" applyBorder="1" applyAlignment="1">
      <alignment vertical="center"/>
    </xf>
    <xf numFmtId="0" fontId="14" fillId="2" borderId="6" xfId="0" applyFont="1" applyFill="1" applyBorder="1" applyAlignment="1">
      <alignment vertical="top"/>
    </xf>
    <xf numFmtId="0" fontId="14" fillId="2" borderId="6" xfId="0" applyFont="1" applyFill="1" applyBorder="1" applyAlignment="1">
      <alignment vertical="top" wrapText="1"/>
    </xf>
    <xf numFmtId="0" fontId="14" fillId="2" borderId="7" xfId="0" applyFont="1" applyFill="1" applyBorder="1" applyAlignment="1">
      <alignment vertical="top" wrapText="1"/>
    </xf>
    <xf numFmtId="0" fontId="14" fillId="2" borderId="11" xfId="0" applyFont="1" applyFill="1" applyBorder="1" applyAlignment="1">
      <alignment vertical="top"/>
    </xf>
    <xf numFmtId="0" fontId="14" fillId="2" borderId="0" xfId="0" applyFont="1" applyFill="1" applyBorder="1" applyAlignment="1">
      <alignment vertical="top"/>
    </xf>
    <xf numFmtId="0" fontId="14" fillId="2" borderId="0" xfId="0" applyFont="1" applyFill="1" applyBorder="1" applyAlignment="1">
      <alignment vertical="top" wrapText="1"/>
    </xf>
    <xf numFmtId="0" fontId="14" fillId="2" borderId="12" xfId="0" applyFont="1" applyFill="1" applyBorder="1" applyAlignment="1">
      <alignment vertical="top" wrapText="1"/>
    </xf>
    <xf numFmtId="0" fontId="14" fillId="2" borderId="8" xfId="0" applyFont="1" applyFill="1" applyBorder="1" applyAlignment="1">
      <alignment vertical="top"/>
    </xf>
    <xf numFmtId="0" fontId="14" fillId="2" borderId="9" xfId="0" applyFont="1" applyFill="1" applyBorder="1" applyAlignment="1">
      <alignment vertical="top"/>
    </xf>
    <xf numFmtId="0" fontId="14" fillId="2" borderId="10" xfId="0" applyFont="1" applyFill="1" applyBorder="1" applyAlignment="1">
      <alignment vertical="top"/>
    </xf>
    <xf numFmtId="0" fontId="18" fillId="2" borderId="0" xfId="0" applyFont="1" applyFill="1" applyBorder="1">
      <alignment vertical="center"/>
    </xf>
    <xf numFmtId="0" fontId="14" fillId="0" borderId="0" xfId="0" applyFon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5" xfId="0" applyFont="1" applyBorder="1">
      <alignment vertical="center"/>
    </xf>
    <xf numFmtId="0" fontId="15" fillId="4" borderId="5" xfId="0" applyFont="1" applyFill="1" applyBorder="1">
      <alignment vertical="center"/>
    </xf>
    <xf numFmtId="0" fontId="21" fillId="2" borderId="0" xfId="0" applyFont="1" applyFill="1" applyBorder="1">
      <alignment vertical="center"/>
    </xf>
    <xf numFmtId="0" fontId="20" fillId="0" borderId="0" xfId="0" applyFont="1" applyBorder="1">
      <alignment vertical="center"/>
    </xf>
    <xf numFmtId="0" fontId="14" fillId="0" borderId="11" xfId="0" applyFont="1" applyBorder="1">
      <alignment vertical="center"/>
    </xf>
    <xf numFmtId="0" fontId="14" fillId="2" borderId="21" xfId="0" applyFont="1" applyFill="1" applyBorder="1">
      <alignment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14" fontId="14" fillId="2" borderId="2" xfId="0" applyNumberFormat="1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vertical="top" wrapText="1"/>
    </xf>
    <xf numFmtId="0" fontId="14" fillId="2" borderId="6" xfId="0" applyFont="1" applyFill="1" applyBorder="1" applyAlignment="1">
      <alignment vertical="top" wrapText="1"/>
    </xf>
    <xf numFmtId="0" fontId="14" fillId="2" borderId="7" xfId="0" applyFont="1" applyFill="1" applyBorder="1" applyAlignment="1">
      <alignment vertical="top" wrapText="1"/>
    </xf>
    <xf numFmtId="0" fontId="14" fillId="2" borderId="8" xfId="0" applyFont="1" applyFill="1" applyBorder="1" applyAlignment="1">
      <alignment vertical="top"/>
    </xf>
    <xf numFmtId="0" fontId="14" fillId="2" borderId="9" xfId="0" applyFont="1" applyFill="1" applyBorder="1" applyAlignment="1">
      <alignment vertical="top"/>
    </xf>
    <xf numFmtId="0" fontId="14" fillId="2" borderId="10" xfId="0" applyFont="1" applyFill="1" applyBorder="1" applyAlignment="1">
      <alignment vertical="top"/>
    </xf>
    <xf numFmtId="0" fontId="14" fillId="2" borderId="11" xfId="0" applyFont="1" applyFill="1" applyBorder="1" applyAlignment="1">
      <alignment vertical="top"/>
    </xf>
    <xf numFmtId="0" fontId="14" fillId="2" borderId="0" xfId="0" applyFont="1" applyFill="1" applyBorder="1" applyAlignment="1">
      <alignment vertical="top"/>
    </xf>
    <xf numFmtId="0" fontId="14" fillId="2" borderId="12" xfId="0" applyFont="1" applyFill="1" applyBorder="1" applyAlignment="1">
      <alignment vertical="top"/>
    </xf>
    <xf numFmtId="0" fontId="14" fillId="2" borderId="0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2" borderId="2" xfId="0" applyFont="1" applyFill="1" applyBorder="1">
      <alignment vertical="center"/>
    </xf>
    <xf numFmtId="0" fontId="14" fillId="2" borderId="3" xfId="0" applyFont="1" applyFill="1" applyBorder="1">
      <alignment vertical="center"/>
    </xf>
    <xf numFmtId="0" fontId="14" fillId="2" borderId="4" xfId="0" applyFont="1" applyFill="1" applyBorder="1">
      <alignment vertical="center"/>
    </xf>
    <xf numFmtId="0" fontId="15" fillId="4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</cellXfs>
  <cellStyles count="3">
    <cellStyle name="Bình thường" xfId="0" builtinId="0"/>
    <cellStyle name="標準 2" xfId="1" xr:uid="{BE2E514F-31BC-45A4-B85A-55289AE7C535}"/>
    <cellStyle name="標準_006.情報019_画面設計書" xfId="2" xr:uid="{B00E009A-FA1B-47B5-8FC6-825F77369C63}"/>
  </cellStyles>
  <dxfs count="0"/>
  <tableStyles count="0" defaultTableStyle="TableStyleMedium2" defaultPivotStyle="PivotStyleLight16"/>
  <colors>
    <mruColors>
      <color rgb="FFCE4E14"/>
      <color rgb="FFFFE5E5"/>
      <color rgb="FFF2ECF4"/>
      <color rgb="FFE7DCEC"/>
      <color rgb="FFBA99C7"/>
      <color rgb="FF85CA3A"/>
      <color rgb="FFFF9933"/>
      <color rgb="FF7CCFF4"/>
      <color rgb="FF2AACA9"/>
      <color rgb="FF70AC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27</xdr:row>
      <xdr:rowOff>15240</xdr:rowOff>
    </xdr:from>
    <xdr:to>
      <xdr:col>17</xdr:col>
      <xdr:colOff>121920</xdr:colOff>
      <xdr:row>29</xdr:row>
      <xdr:rowOff>38100</xdr:rowOff>
    </xdr:to>
    <xdr:sp macro="" textlink="">
      <xdr:nvSpPr>
        <xdr:cNvPr id="14" name="Rectangle 15">
          <a:extLst>
            <a:ext uri="{FF2B5EF4-FFF2-40B4-BE49-F238E27FC236}">
              <a16:creationId xmlns:a16="http://schemas.microsoft.com/office/drawing/2014/main" id="{D89E5E3C-74C2-40A1-BDE5-13ADA4A34973}"/>
            </a:ext>
          </a:extLst>
        </xdr:cNvPr>
        <xdr:cNvSpPr/>
      </xdr:nvSpPr>
      <xdr:spPr>
        <a:xfrm>
          <a:off x="2522220" y="448818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ステップ</a:t>
          </a:r>
          <a:r>
            <a:rPr lang="en-US" altLang="ja-JP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3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114300</xdr:colOff>
      <xdr:row>29</xdr:row>
      <xdr:rowOff>38100</xdr:rowOff>
    </xdr:from>
    <xdr:to>
      <xdr:col>17</xdr:col>
      <xdr:colOff>121920</xdr:colOff>
      <xdr:row>31</xdr:row>
      <xdr:rowOff>53340</xdr:rowOff>
    </xdr:to>
    <xdr:sp macro="" textlink="">
      <xdr:nvSpPr>
        <xdr:cNvPr id="15" name="Rectangle 15">
          <a:extLst>
            <a:ext uri="{FF2B5EF4-FFF2-40B4-BE49-F238E27FC236}">
              <a16:creationId xmlns:a16="http://schemas.microsoft.com/office/drawing/2014/main" id="{492F85B4-C36C-4C38-8564-6CD21420E764}"/>
            </a:ext>
          </a:extLst>
        </xdr:cNvPr>
        <xdr:cNvSpPr/>
      </xdr:nvSpPr>
      <xdr:spPr>
        <a:xfrm>
          <a:off x="2522220" y="485394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料理一覧取得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60960</xdr:colOff>
      <xdr:row>34</xdr:row>
      <xdr:rowOff>129540</xdr:rowOff>
    </xdr:from>
    <xdr:to>
      <xdr:col>17</xdr:col>
      <xdr:colOff>68580</xdr:colOff>
      <xdr:row>36</xdr:row>
      <xdr:rowOff>152400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282C489-DC88-455F-80F7-2B3830F9541C}"/>
            </a:ext>
          </a:extLst>
        </xdr:cNvPr>
        <xdr:cNvSpPr/>
      </xdr:nvSpPr>
      <xdr:spPr>
        <a:xfrm>
          <a:off x="2468880" y="580644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ステップ</a:t>
          </a:r>
          <a:r>
            <a:rPr lang="en-US" altLang="ja-JP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4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60960</xdr:colOff>
      <xdr:row>36</xdr:row>
      <xdr:rowOff>152400</xdr:rowOff>
    </xdr:from>
    <xdr:to>
      <xdr:col>17</xdr:col>
      <xdr:colOff>68580</xdr:colOff>
      <xdr:row>39</xdr:row>
      <xdr:rowOff>15240</xdr:rowOff>
    </xdr:to>
    <xdr:sp macro="" textlink="">
      <xdr:nvSpPr>
        <xdr:cNvPr id="17" name="Rectangle 15">
          <a:extLst>
            <a:ext uri="{FF2B5EF4-FFF2-40B4-BE49-F238E27FC236}">
              <a16:creationId xmlns:a16="http://schemas.microsoft.com/office/drawing/2014/main" id="{41FB2459-3044-4FFE-89DB-469AB1E276DE}"/>
            </a:ext>
          </a:extLst>
        </xdr:cNvPr>
        <xdr:cNvSpPr/>
      </xdr:nvSpPr>
      <xdr:spPr>
        <a:xfrm>
          <a:off x="2468880" y="617220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レシピ詳細情報の取得と保存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3810</xdr:colOff>
      <xdr:row>14</xdr:row>
      <xdr:rowOff>137160</xdr:rowOff>
    </xdr:from>
    <xdr:to>
      <xdr:col>14</xdr:col>
      <xdr:colOff>3810</xdr:colOff>
      <xdr:row>18</xdr:row>
      <xdr:rowOff>129540</xdr:rowOff>
    </xdr:to>
    <xdr:cxnSp macro="">
      <xdr:nvCxnSpPr>
        <xdr:cNvPr id="20" name="Đường kết nối Mũi tên Thẳng 19">
          <a:extLst>
            <a:ext uri="{FF2B5EF4-FFF2-40B4-BE49-F238E27FC236}">
              <a16:creationId xmlns:a16="http://schemas.microsoft.com/office/drawing/2014/main" id="{666D7C60-27E8-68FF-64F1-04F304F4DFC3}"/>
            </a:ext>
          </a:extLst>
        </xdr:cNvPr>
        <xdr:cNvCxnSpPr>
          <a:cxnSpLocks/>
          <a:stCxn id="19" idx="2"/>
        </xdr:cNvCxnSpPr>
      </xdr:nvCxnSpPr>
      <xdr:spPr>
        <a:xfrm>
          <a:off x="3448050" y="2392680"/>
          <a:ext cx="0" cy="6781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41564</xdr:colOff>
      <xdr:row>19</xdr:row>
      <xdr:rowOff>193271</xdr:rowOff>
    </xdr:from>
    <xdr:to>
      <xdr:col>10</xdr:col>
      <xdr:colOff>136467</xdr:colOff>
      <xdr:row>19</xdr:row>
      <xdr:rowOff>193964</xdr:rowOff>
    </xdr:to>
    <xdr:cxnSp macro="">
      <xdr:nvCxnSpPr>
        <xdr:cNvPr id="25" name="Đường kết nối Mũi tên Thẳng 24">
          <a:extLst>
            <a:ext uri="{FF2B5EF4-FFF2-40B4-BE49-F238E27FC236}">
              <a16:creationId xmlns:a16="http://schemas.microsoft.com/office/drawing/2014/main" id="{648DBC9D-B55B-9618-345F-B54032C462B3}"/>
            </a:ext>
          </a:extLst>
        </xdr:cNvPr>
        <xdr:cNvCxnSpPr>
          <a:cxnSpLocks/>
        </xdr:cNvCxnSpPr>
      </xdr:nvCxnSpPr>
      <xdr:spPr>
        <a:xfrm flipV="1">
          <a:off x="1399309" y="4003271"/>
          <a:ext cx="1120140" cy="69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60382</xdr:colOff>
      <xdr:row>20</xdr:row>
      <xdr:rowOff>106680</xdr:rowOff>
    </xdr:from>
    <xdr:to>
      <xdr:col>10</xdr:col>
      <xdr:colOff>121920</xdr:colOff>
      <xdr:row>20</xdr:row>
      <xdr:rowOff>111234</xdr:rowOff>
    </xdr:to>
    <xdr:cxnSp macro="">
      <xdr:nvCxnSpPr>
        <xdr:cNvPr id="31" name="Đường kết nối Mũi tên Thẳng 30">
          <a:extLst>
            <a:ext uri="{FF2B5EF4-FFF2-40B4-BE49-F238E27FC236}">
              <a16:creationId xmlns:a16="http://schemas.microsoft.com/office/drawing/2014/main" id="{01249487-5231-FFDD-957A-DE6C525D19E2}"/>
            </a:ext>
          </a:extLst>
        </xdr:cNvPr>
        <xdr:cNvCxnSpPr>
          <a:cxnSpLocks/>
          <a:endCxn id="29" idx="4"/>
        </xdr:cNvCxnSpPr>
      </xdr:nvCxnSpPr>
      <xdr:spPr>
        <a:xfrm flipH="1">
          <a:off x="1418127" y="4124498"/>
          <a:ext cx="1086775" cy="455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247650</xdr:colOff>
      <xdr:row>23</xdr:row>
      <xdr:rowOff>22860</xdr:rowOff>
    </xdr:from>
    <xdr:to>
      <xdr:col>14</xdr:col>
      <xdr:colOff>3810</xdr:colOff>
      <xdr:row>27</xdr:row>
      <xdr:rowOff>15240</xdr:rowOff>
    </xdr:to>
    <xdr:cxnSp macro="">
      <xdr:nvCxnSpPr>
        <xdr:cNvPr id="34" name="Đường kết nối Mũi tên Thẳng 33">
          <a:extLst>
            <a:ext uri="{FF2B5EF4-FFF2-40B4-BE49-F238E27FC236}">
              <a16:creationId xmlns:a16="http://schemas.microsoft.com/office/drawing/2014/main" id="{55F39BBB-7246-D618-50B1-D6C54AE67E8B}"/>
            </a:ext>
          </a:extLst>
        </xdr:cNvPr>
        <xdr:cNvCxnSpPr>
          <a:cxnSpLocks/>
          <a:endCxn id="14" idx="0"/>
        </xdr:cNvCxnSpPr>
      </xdr:nvCxnSpPr>
      <xdr:spPr>
        <a:xfrm flipH="1">
          <a:off x="3432810" y="3817620"/>
          <a:ext cx="15240" cy="6705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185016</xdr:colOff>
      <xdr:row>21</xdr:row>
      <xdr:rowOff>149734</xdr:rowOff>
    </xdr:from>
    <xdr:to>
      <xdr:col>10</xdr:col>
      <xdr:colOff>114300</xdr:colOff>
      <xdr:row>28</xdr:row>
      <xdr:rowOff>26671</xdr:rowOff>
    </xdr:to>
    <xdr:cxnSp macro="">
      <xdr:nvCxnSpPr>
        <xdr:cNvPr id="39" name="Đường kết nối: Mũi tên Gấp khúc 38">
          <a:extLst>
            <a:ext uri="{FF2B5EF4-FFF2-40B4-BE49-F238E27FC236}">
              <a16:creationId xmlns:a16="http://schemas.microsoft.com/office/drawing/2014/main" id="{A508C6A5-D2D4-A7B5-DF3C-D13684366614}"/>
            </a:ext>
          </a:extLst>
        </xdr:cNvPr>
        <xdr:cNvCxnSpPr>
          <a:cxnSpLocks/>
          <a:stCxn id="14" idx="1"/>
          <a:endCxn id="29" idx="3"/>
        </xdr:cNvCxnSpPr>
      </xdr:nvCxnSpPr>
      <xdr:spPr>
        <a:xfrm rot="10800000">
          <a:off x="773834" y="4375370"/>
          <a:ext cx="1723448" cy="133166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236220</xdr:colOff>
      <xdr:row>31</xdr:row>
      <xdr:rowOff>53340</xdr:rowOff>
    </xdr:from>
    <xdr:to>
      <xdr:col>13</xdr:col>
      <xdr:colOff>247650</xdr:colOff>
      <xdr:row>34</xdr:row>
      <xdr:rowOff>129540</xdr:rowOff>
    </xdr:to>
    <xdr:cxnSp macro="">
      <xdr:nvCxnSpPr>
        <xdr:cNvPr id="40" name="Đường kết nối Mũi tên Thẳng 39">
          <a:extLst>
            <a:ext uri="{FF2B5EF4-FFF2-40B4-BE49-F238E27FC236}">
              <a16:creationId xmlns:a16="http://schemas.microsoft.com/office/drawing/2014/main" id="{B7140711-AF2C-4F5A-98CE-C2C818981290}"/>
            </a:ext>
          </a:extLst>
        </xdr:cNvPr>
        <xdr:cNvCxnSpPr>
          <a:stCxn id="15" idx="2"/>
        </xdr:cNvCxnSpPr>
      </xdr:nvCxnSpPr>
      <xdr:spPr>
        <a:xfrm flipH="1">
          <a:off x="3421380" y="5219700"/>
          <a:ext cx="11430" cy="5867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129540</xdr:colOff>
      <xdr:row>21</xdr:row>
      <xdr:rowOff>144780</xdr:rowOff>
    </xdr:from>
    <xdr:to>
      <xdr:col>10</xdr:col>
      <xdr:colOff>72390</xdr:colOff>
      <xdr:row>36</xdr:row>
      <xdr:rowOff>7620</xdr:rowOff>
    </xdr:to>
    <xdr:cxnSp macro="">
      <xdr:nvCxnSpPr>
        <xdr:cNvPr id="42" name="Đường kết nối: Mũi tên Gấp khúc 41">
          <a:extLst>
            <a:ext uri="{FF2B5EF4-FFF2-40B4-BE49-F238E27FC236}">
              <a16:creationId xmlns:a16="http://schemas.microsoft.com/office/drawing/2014/main" id="{3B58D3DB-2568-4D1A-9D78-BA536F1CC125}"/>
            </a:ext>
          </a:extLst>
        </xdr:cNvPr>
        <xdr:cNvCxnSpPr/>
      </xdr:nvCxnSpPr>
      <xdr:spPr>
        <a:xfrm rot="16200000" flipV="1">
          <a:off x="260985" y="3808095"/>
          <a:ext cx="2423160" cy="2015490"/>
        </a:xfrm>
        <a:prstGeom prst="bentConnector3">
          <a:avLst>
            <a:gd name="adj1" fmla="val 94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129540</xdr:colOff>
      <xdr:row>10</xdr:row>
      <xdr:rowOff>83820</xdr:rowOff>
    </xdr:from>
    <xdr:to>
      <xdr:col>17</xdr:col>
      <xdr:colOff>137160</xdr:colOff>
      <xdr:row>12</xdr:row>
      <xdr:rowOff>114300</xdr:rowOff>
    </xdr:to>
    <xdr:sp macro="" textlink="">
      <xdr:nvSpPr>
        <xdr:cNvPr id="11" name="Rectangle 15">
          <a:extLst>
            <a:ext uri="{FF2B5EF4-FFF2-40B4-BE49-F238E27FC236}">
              <a16:creationId xmlns:a16="http://schemas.microsoft.com/office/drawing/2014/main" id="{5A5B6C24-C9DC-464A-A8B8-0D685DED4AF1}"/>
            </a:ext>
          </a:extLst>
        </xdr:cNvPr>
        <xdr:cNvSpPr/>
      </xdr:nvSpPr>
      <xdr:spPr>
        <a:xfrm>
          <a:off x="2537460" y="166116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ステップ</a:t>
          </a:r>
          <a:r>
            <a:rPr lang="en-US" altLang="ja-JP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1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129540</xdr:colOff>
      <xdr:row>12</xdr:row>
      <xdr:rowOff>114300</xdr:rowOff>
    </xdr:from>
    <xdr:to>
      <xdr:col>17</xdr:col>
      <xdr:colOff>137160</xdr:colOff>
      <xdr:row>14</xdr:row>
      <xdr:rowOff>137160</xdr:rowOff>
    </xdr:to>
    <xdr:sp macro="" textlink="">
      <xdr:nvSpPr>
        <xdr:cNvPr id="19" name="Rectangle 15">
          <a:extLst>
            <a:ext uri="{FF2B5EF4-FFF2-40B4-BE49-F238E27FC236}">
              <a16:creationId xmlns:a16="http://schemas.microsoft.com/office/drawing/2014/main" id="{D640CF88-25A6-4D07-9981-5F443AB8CE30}"/>
            </a:ext>
          </a:extLst>
        </xdr:cNvPr>
        <xdr:cNvSpPr/>
      </xdr:nvSpPr>
      <xdr:spPr>
        <a:xfrm>
          <a:off x="2537460" y="202692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初期設定処理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137160</xdr:colOff>
      <xdr:row>18</xdr:row>
      <xdr:rowOff>144780</xdr:rowOff>
    </xdr:from>
    <xdr:to>
      <xdr:col>17</xdr:col>
      <xdr:colOff>144780</xdr:colOff>
      <xdr:row>20</xdr:row>
      <xdr:rowOff>167640</xdr:rowOff>
    </xdr:to>
    <xdr:sp macro="" textlink="">
      <xdr:nvSpPr>
        <xdr:cNvPr id="22" name="Rectangle 15">
          <a:extLst>
            <a:ext uri="{FF2B5EF4-FFF2-40B4-BE49-F238E27FC236}">
              <a16:creationId xmlns:a16="http://schemas.microsoft.com/office/drawing/2014/main" id="{53D5DE68-380B-407F-ABAE-CF817CCEA77B}"/>
            </a:ext>
          </a:extLst>
        </xdr:cNvPr>
        <xdr:cNvSpPr/>
      </xdr:nvSpPr>
      <xdr:spPr>
        <a:xfrm>
          <a:off x="2545080" y="308610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ステップ</a:t>
          </a:r>
          <a:r>
            <a:rPr lang="en-US" altLang="ja-JP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2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137160</xdr:colOff>
      <xdr:row>20</xdr:row>
      <xdr:rowOff>160020</xdr:rowOff>
    </xdr:from>
    <xdr:to>
      <xdr:col>17</xdr:col>
      <xdr:colOff>144780</xdr:colOff>
      <xdr:row>23</xdr:row>
      <xdr:rowOff>15240</xdr:rowOff>
    </xdr:to>
    <xdr:sp macro="" textlink="">
      <xdr:nvSpPr>
        <xdr:cNvPr id="23" name="Rectangle 15">
          <a:extLst>
            <a:ext uri="{FF2B5EF4-FFF2-40B4-BE49-F238E27FC236}">
              <a16:creationId xmlns:a16="http://schemas.microsoft.com/office/drawing/2014/main" id="{D367A0BC-370C-48A2-A7AF-D206A3ED1074}"/>
            </a:ext>
          </a:extLst>
        </xdr:cNvPr>
        <xdr:cNvSpPr/>
      </xdr:nvSpPr>
      <xdr:spPr>
        <a:xfrm>
          <a:off x="2545080" y="3444240"/>
          <a:ext cx="1821180" cy="36576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1000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  <a:cs typeface="+mn-cs"/>
            </a:rPr>
            <a:t>カテゴリ情報の取得と同期</a:t>
          </a:r>
          <a:endParaRPr lang="en-US" sz="10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  <xdr:twoCellAnchor>
    <xdr:from>
      <xdr:col>1</xdr:col>
      <xdr:colOff>53340</xdr:colOff>
      <xdr:row>19</xdr:row>
      <xdr:rowOff>72735</xdr:rowOff>
    </xdr:from>
    <xdr:to>
      <xdr:col>6</xdr:col>
      <xdr:colOff>60382</xdr:colOff>
      <xdr:row>21</xdr:row>
      <xdr:rowOff>149733</xdr:rowOff>
    </xdr:to>
    <xdr:sp macro="" textlink="">
      <xdr:nvSpPr>
        <xdr:cNvPr id="29" name="Flowchart: Magnetic Disk 18">
          <a:extLst>
            <a:ext uri="{FF2B5EF4-FFF2-40B4-BE49-F238E27FC236}">
              <a16:creationId xmlns:a16="http://schemas.microsoft.com/office/drawing/2014/main" id="{909F7239-E696-4EAD-9F5C-0970EE4EF196}"/>
            </a:ext>
          </a:extLst>
        </xdr:cNvPr>
        <xdr:cNvSpPr/>
      </xdr:nvSpPr>
      <xdr:spPr>
        <a:xfrm>
          <a:off x="129540" y="3882735"/>
          <a:ext cx="1288587" cy="492634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</a:rPr>
            <a:t>DB</a:t>
          </a:r>
          <a:r>
            <a:rPr lang="ja-JP" altLang="en-US">
              <a:solidFill>
                <a:sysClr val="windowText" lastClr="000000"/>
              </a:solidFill>
              <a:latin typeface="Meiryo" panose="020B0604030504040204" pitchFamily="34" charset="-128"/>
              <a:ea typeface="Meiryo" panose="020B0604030504040204" pitchFamily="34" charset="-128"/>
            </a:rPr>
            <a:t>名</a:t>
          </a:r>
          <a:endParaRPr lang="en-US" sz="1100">
            <a:solidFill>
              <a:sysClr val="windowText" lastClr="000000"/>
            </a:solidFill>
            <a:latin typeface="Meiryo" panose="020B0604030504040204" pitchFamily="34" charset="-128"/>
            <a:ea typeface="Meiryo" panose="020B0604030504040204" pitchFamily="34" charset="-128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ủ đề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17271-5EC8-44C0-B328-2F1FB22C1D1D}">
  <dimension ref="A1:K16"/>
  <sheetViews>
    <sheetView zoomScale="85" zoomScaleNormal="85" zoomScaleSheetLayoutView="85" workbookViewId="0">
      <selection activeCell="F14" sqref="F14"/>
    </sheetView>
  </sheetViews>
  <sheetFormatPr defaultColWidth="8.796875" defaultRowHeight="18"/>
  <cols>
    <col min="1" max="5" width="10.59765625" style="2" customWidth="1"/>
    <col min="6" max="11" width="11.19921875" style="2" customWidth="1"/>
    <col min="12" max="16384" width="8.796875" style="2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6.4">
      <c r="A3" s="1"/>
      <c r="B3" s="3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8.8">
      <c r="A6" s="1"/>
      <c r="B6" s="1"/>
      <c r="C6" s="4"/>
      <c r="D6" s="4"/>
      <c r="F6" s="4"/>
      <c r="G6" s="4"/>
      <c r="H6" s="4"/>
      <c r="I6" s="1"/>
      <c r="J6" s="1"/>
      <c r="K6" s="1"/>
    </row>
    <row r="7" spans="1:11" ht="45.6">
      <c r="A7" s="76"/>
      <c r="B7" s="76"/>
      <c r="C7" s="76"/>
      <c r="D7" s="76"/>
      <c r="E7" s="76"/>
      <c r="F7" s="76"/>
      <c r="G7" s="76"/>
      <c r="H7" s="76"/>
      <c r="I7" s="76"/>
      <c r="J7" s="76"/>
      <c r="K7" s="76"/>
    </row>
    <row r="8" spans="1:11" ht="28.8">
      <c r="A8" s="1"/>
      <c r="B8" s="1"/>
      <c r="C8" s="4"/>
      <c r="D8" s="4"/>
      <c r="E8" s="4"/>
      <c r="F8" s="4"/>
      <c r="G8" s="4"/>
      <c r="H8" s="4"/>
      <c r="I8" s="1"/>
      <c r="J8" s="1"/>
      <c r="K8" s="1"/>
    </row>
    <row r="9" spans="1:11" ht="58.2">
      <c r="A9" s="77" t="s">
        <v>27</v>
      </c>
      <c r="B9" s="77"/>
      <c r="C9" s="77"/>
      <c r="D9" s="77"/>
      <c r="E9" s="77"/>
      <c r="F9" s="77"/>
      <c r="G9" s="77"/>
      <c r="H9" s="77"/>
      <c r="I9" s="77"/>
      <c r="J9" s="77"/>
      <c r="K9" s="77"/>
    </row>
    <row r="10" spans="1:11" ht="58.2">
      <c r="A10" s="77" t="s">
        <v>53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</row>
    <row r="11" spans="1:11" ht="28.8">
      <c r="A11" s="1"/>
      <c r="B11" s="1"/>
      <c r="C11" s="4"/>
      <c r="D11" s="4"/>
      <c r="E11" s="4"/>
      <c r="F11" s="4"/>
      <c r="G11" s="4"/>
      <c r="H11" s="4"/>
      <c r="I11" s="1"/>
      <c r="J11" s="1"/>
      <c r="K11" s="1"/>
    </row>
    <row r="12" spans="1:11" ht="28.8">
      <c r="A12" s="5"/>
      <c r="B12" s="5"/>
      <c r="C12" s="6"/>
      <c r="D12" s="6"/>
      <c r="E12" s="4"/>
      <c r="F12" s="4"/>
      <c r="G12" s="6"/>
      <c r="H12" s="6"/>
      <c r="I12" s="5"/>
      <c r="J12" s="5"/>
      <c r="K12" s="5"/>
    </row>
    <row r="13" spans="1:11">
      <c r="A13" s="5"/>
      <c r="B13" s="5"/>
      <c r="C13" s="6"/>
      <c r="D13" s="6"/>
      <c r="E13" s="7" t="s">
        <v>0</v>
      </c>
      <c r="F13" s="8" t="s">
        <v>28</v>
      </c>
      <c r="G13" s="9"/>
      <c r="H13" s="6"/>
      <c r="I13" s="5"/>
      <c r="J13" s="5"/>
      <c r="K13" s="5"/>
    </row>
    <row r="14" spans="1:11">
      <c r="A14" s="5"/>
      <c r="B14" s="5"/>
      <c r="C14" s="5"/>
      <c r="D14" s="5"/>
      <c r="E14" s="7" t="s">
        <v>1</v>
      </c>
      <c r="F14" s="10" t="s">
        <v>29</v>
      </c>
      <c r="G14" s="9"/>
      <c r="H14" s="6"/>
      <c r="I14" s="5"/>
      <c r="J14" s="5"/>
      <c r="K14" s="5"/>
    </row>
    <row r="15" spans="1:11">
      <c r="A15" s="5"/>
      <c r="B15" s="5"/>
      <c r="C15" s="5"/>
      <c r="D15" s="5"/>
      <c r="E15" s="9"/>
      <c r="F15" s="9"/>
      <c r="G15" s="9"/>
      <c r="H15" s="6"/>
      <c r="I15" s="5"/>
      <c r="J15" s="5"/>
      <c r="K15" s="5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</sheetData>
  <mergeCells count="3">
    <mergeCell ref="A7:K7"/>
    <mergeCell ref="A9:K9"/>
    <mergeCell ref="A10:K10"/>
  </mergeCells>
  <phoneticPr fontI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BA0C1-C2C8-4CCD-93C8-34F47D71E8B6}">
  <dimension ref="A1:H28"/>
  <sheetViews>
    <sheetView zoomScaleNormal="100" zoomScaleSheetLayoutView="100" workbookViewId="0">
      <selection activeCell="H8" sqref="H8"/>
    </sheetView>
  </sheetViews>
  <sheetFormatPr defaultColWidth="8.796875" defaultRowHeight="17.399999999999999"/>
  <cols>
    <col min="1" max="1" width="6.09765625" style="31" customWidth="1"/>
    <col min="2" max="2" width="7.69921875" style="50" customWidth="1"/>
    <col min="3" max="3" width="22.19921875" style="31" customWidth="1"/>
    <col min="4" max="4" width="31.59765625" style="31" customWidth="1"/>
    <col min="5" max="7" width="13.3984375" style="50" customWidth="1"/>
    <col min="8" max="8" width="12.19921875" style="31" customWidth="1"/>
    <col min="9" max="16384" width="8.796875" style="31"/>
  </cols>
  <sheetData>
    <row r="1" spans="1:8">
      <c r="A1" s="35" t="s">
        <v>2</v>
      </c>
      <c r="B1" s="44"/>
      <c r="C1" s="11"/>
      <c r="D1" s="11"/>
      <c r="E1" s="44"/>
      <c r="F1" s="44"/>
      <c r="G1" s="44"/>
      <c r="H1" s="11"/>
    </row>
    <row r="2" spans="1:8">
      <c r="A2" s="11"/>
      <c r="B2" s="44"/>
      <c r="C2" s="11"/>
      <c r="D2" s="11"/>
      <c r="E2" s="44"/>
      <c r="F2" s="44"/>
      <c r="G2" s="44"/>
      <c r="H2" s="11"/>
    </row>
    <row r="3" spans="1:8">
      <c r="A3" s="45" t="s">
        <v>3</v>
      </c>
      <c r="B3" s="45" t="s">
        <v>4</v>
      </c>
      <c r="C3" s="46" t="s">
        <v>5</v>
      </c>
      <c r="D3" s="45" t="s">
        <v>6</v>
      </c>
      <c r="E3" s="45" t="s">
        <v>7</v>
      </c>
      <c r="F3" s="45" t="s">
        <v>8</v>
      </c>
      <c r="G3" s="45" t="s">
        <v>9</v>
      </c>
      <c r="H3" s="45" t="s">
        <v>10</v>
      </c>
    </row>
    <row r="4" spans="1:8">
      <c r="A4" s="47">
        <f>ROW()-3</f>
        <v>1</v>
      </c>
      <c r="B4" s="48">
        <v>1.1000000000000001</v>
      </c>
      <c r="C4" s="47"/>
      <c r="D4" s="47" t="s">
        <v>30</v>
      </c>
      <c r="E4" s="48"/>
      <c r="F4" s="49">
        <v>46210</v>
      </c>
      <c r="G4" s="48" t="s">
        <v>54</v>
      </c>
      <c r="H4" s="47"/>
    </row>
    <row r="5" spans="1:8">
      <c r="A5" s="47">
        <f t="shared" ref="A5:A28" si="0">ROW()-3</f>
        <v>2</v>
      </c>
      <c r="B5" s="48" t="s">
        <v>11</v>
      </c>
      <c r="C5" s="47"/>
      <c r="D5" s="47"/>
      <c r="E5" s="48"/>
      <c r="F5" s="48"/>
      <c r="G5" s="48"/>
      <c r="H5" s="47"/>
    </row>
    <row r="6" spans="1:8">
      <c r="A6" s="47">
        <f t="shared" si="0"/>
        <v>3</v>
      </c>
      <c r="B6" s="48" t="s">
        <v>11</v>
      </c>
      <c r="C6" s="47" t="s">
        <v>11</v>
      </c>
      <c r="D6" s="47" t="s">
        <v>11</v>
      </c>
      <c r="E6" s="48" t="s">
        <v>11</v>
      </c>
      <c r="F6" s="48" t="s">
        <v>11</v>
      </c>
      <c r="G6" s="48" t="s">
        <v>11</v>
      </c>
      <c r="H6" s="47" t="s">
        <v>11</v>
      </c>
    </row>
    <row r="7" spans="1:8">
      <c r="A7" s="47">
        <f t="shared" si="0"/>
        <v>4</v>
      </c>
      <c r="B7" s="48" t="s">
        <v>11</v>
      </c>
      <c r="C7" s="47" t="s">
        <v>11</v>
      </c>
      <c r="D7" s="47" t="s">
        <v>11</v>
      </c>
      <c r="E7" s="48" t="s">
        <v>11</v>
      </c>
      <c r="F7" s="48" t="s">
        <v>11</v>
      </c>
      <c r="G7" s="48" t="s">
        <v>11</v>
      </c>
      <c r="H7" s="47" t="s">
        <v>11</v>
      </c>
    </row>
    <row r="8" spans="1:8">
      <c r="A8" s="47">
        <f t="shared" si="0"/>
        <v>5</v>
      </c>
      <c r="B8" s="48" t="s">
        <v>11</v>
      </c>
      <c r="C8" s="47" t="s">
        <v>11</v>
      </c>
      <c r="D8" s="47" t="s">
        <v>11</v>
      </c>
      <c r="E8" s="48" t="s">
        <v>11</v>
      </c>
      <c r="F8" s="48" t="s">
        <v>11</v>
      </c>
      <c r="G8" s="48" t="s">
        <v>11</v>
      </c>
      <c r="H8" s="47" t="s">
        <v>11</v>
      </c>
    </row>
    <row r="9" spans="1:8">
      <c r="A9" s="47">
        <f t="shared" si="0"/>
        <v>6</v>
      </c>
      <c r="B9" s="48" t="s">
        <v>11</v>
      </c>
      <c r="C9" s="47" t="s">
        <v>11</v>
      </c>
      <c r="D9" s="47" t="s">
        <v>11</v>
      </c>
      <c r="E9" s="48" t="s">
        <v>11</v>
      </c>
      <c r="F9" s="48" t="s">
        <v>11</v>
      </c>
      <c r="G9" s="48" t="s">
        <v>11</v>
      </c>
      <c r="H9" s="47" t="s">
        <v>11</v>
      </c>
    </row>
    <row r="10" spans="1:8">
      <c r="A10" s="47">
        <f t="shared" si="0"/>
        <v>7</v>
      </c>
      <c r="B10" s="48" t="s">
        <v>11</v>
      </c>
      <c r="C10" s="47" t="s">
        <v>11</v>
      </c>
      <c r="D10" s="47" t="s">
        <v>11</v>
      </c>
      <c r="E10" s="48" t="s">
        <v>11</v>
      </c>
      <c r="F10" s="48" t="s">
        <v>11</v>
      </c>
      <c r="G10" s="48" t="s">
        <v>11</v>
      </c>
      <c r="H10" s="47" t="s">
        <v>11</v>
      </c>
    </row>
    <row r="11" spans="1:8">
      <c r="A11" s="47">
        <f t="shared" si="0"/>
        <v>8</v>
      </c>
      <c r="B11" s="48" t="s">
        <v>11</v>
      </c>
      <c r="C11" s="47" t="s">
        <v>11</v>
      </c>
      <c r="D11" s="47" t="s">
        <v>11</v>
      </c>
      <c r="E11" s="48" t="s">
        <v>11</v>
      </c>
      <c r="F11" s="48" t="s">
        <v>11</v>
      </c>
      <c r="G11" s="48" t="s">
        <v>11</v>
      </c>
      <c r="H11" s="47" t="s">
        <v>11</v>
      </c>
    </row>
    <row r="12" spans="1:8">
      <c r="A12" s="47">
        <f t="shared" si="0"/>
        <v>9</v>
      </c>
      <c r="B12" s="48" t="s">
        <v>11</v>
      </c>
      <c r="C12" s="47" t="s">
        <v>11</v>
      </c>
      <c r="D12" s="47" t="s">
        <v>11</v>
      </c>
      <c r="E12" s="48" t="s">
        <v>11</v>
      </c>
      <c r="F12" s="48" t="s">
        <v>11</v>
      </c>
      <c r="G12" s="48" t="s">
        <v>11</v>
      </c>
      <c r="H12" s="47" t="s">
        <v>11</v>
      </c>
    </row>
    <row r="13" spans="1:8">
      <c r="A13" s="47">
        <f t="shared" si="0"/>
        <v>10</v>
      </c>
      <c r="B13" s="48" t="s">
        <v>11</v>
      </c>
      <c r="C13" s="47" t="s">
        <v>11</v>
      </c>
      <c r="D13" s="47" t="s">
        <v>11</v>
      </c>
      <c r="E13" s="48" t="s">
        <v>11</v>
      </c>
      <c r="F13" s="48" t="s">
        <v>11</v>
      </c>
      <c r="G13" s="48" t="s">
        <v>11</v>
      </c>
      <c r="H13" s="47" t="s">
        <v>11</v>
      </c>
    </row>
    <row r="14" spans="1:8">
      <c r="A14" s="47">
        <f t="shared" si="0"/>
        <v>11</v>
      </c>
      <c r="B14" s="48" t="s">
        <v>11</v>
      </c>
      <c r="C14" s="47" t="s">
        <v>11</v>
      </c>
      <c r="D14" s="47" t="s">
        <v>11</v>
      </c>
      <c r="E14" s="48" t="s">
        <v>11</v>
      </c>
      <c r="F14" s="48" t="s">
        <v>11</v>
      </c>
      <c r="G14" s="48" t="s">
        <v>11</v>
      </c>
      <c r="H14" s="47" t="s">
        <v>11</v>
      </c>
    </row>
    <row r="15" spans="1:8">
      <c r="A15" s="47">
        <f t="shared" si="0"/>
        <v>12</v>
      </c>
      <c r="B15" s="48" t="s">
        <v>11</v>
      </c>
      <c r="C15" s="47" t="s">
        <v>11</v>
      </c>
      <c r="D15" s="47" t="s">
        <v>11</v>
      </c>
      <c r="E15" s="48" t="s">
        <v>11</v>
      </c>
      <c r="F15" s="48" t="s">
        <v>11</v>
      </c>
      <c r="G15" s="48" t="s">
        <v>11</v>
      </c>
      <c r="H15" s="47" t="s">
        <v>11</v>
      </c>
    </row>
    <row r="16" spans="1:8">
      <c r="A16" s="47">
        <f t="shared" si="0"/>
        <v>13</v>
      </c>
      <c r="B16" s="48" t="s">
        <v>11</v>
      </c>
      <c r="C16" s="47" t="s">
        <v>11</v>
      </c>
      <c r="D16" s="47" t="s">
        <v>11</v>
      </c>
      <c r="E16" s="48" t="s">
        <v>11</v>
      </c>
      <c r="F16" s="48" t="s">
        <v>11</v>
      </c>
      <c r="G16" s="48" t="s">
        <v>11</v>
      </c>
      <c r="H16" s="47" t="s">
        <v>11</v>
      </c>
    </row>
    <row r="17" spans="1:8">
      <c r="A17" s="47">
        <f t="shared" si="0"/>
        <v>14</v>
      </c>
      <c r="B17" s="48" t="s">
        <v>11</v>
      </c>
      <c r="C17" s="47" t="s">
        <v>11</v>
      </c>
      <c r="D17" s="47" t="s">
        <v>11</v>
      </c>
      <c r="E17" s="48" t="s">
        <v>11</v>
      </c>
      <c r="F17" s="48" t="s">
        <v>11</v>
      </c>
      <c r="G17" s="48" t="s">
        <v>11</v>
      </c>
      <c r="H17" s="47" t="s">
        <v>11</v>
      </c>
    </row>
    <row r="18" spans="1:8">
      <c r="A18" s="47">
        <f t="shared" si="0"/>
        <v>15</v>
      </c>
      <c r="B18" s="48" t="s">
        <v>11</v>
      </c>
      <c r="C18" s="47" t="s">
        <v>11</v>
      </c>
      <c r="D18" s="47" t="s">
        <v>11</v>
      </c>
      <c r="E18" s="48" t="s">
        <v>11</v>
      </c>
      <c r="F18" s="48" t="s">
        <v>11</v>
      </c>
      <c r="G18" s="48" t="s">
        <v>11</v>
      </c>
      <c r="H18" s="47" t="s">
        <v>11</v>
      </c>
    </row>
    <row r="19" spans="1:8">
      <c r="A19" s="47">
        <f t="shared" si="0"/>
        <v>16</v>
      </c>
      <c r="B19" s="48" t="s">
        <v>11</v>
      </c>
      <c r="C19" s="47" t="s">
        <v>11</v>
      </c>
      <c r="D19" s="47" t="s">
        <v>11</v>
      </c>
      <c r="E19" s="48" t="s">
        <v>11</v>
      </c>
      <c r="F19" s="48" t="s">
        <v>11</v>
      </c>
      <c r="G19" s="48" t="s">
        <v>11</v>
      </c>
      <c r="H19" s="47" t="s">
        <v>11</v>
      </c>
    </row>
    <row r="20" spans="1:8">
      <c r="A20" s="47">
        <f t="shared" si="0"/>
        <v>17</v>
      </c>
      <c r="B20" s="48" t="s">
        <v>11</v>
      </c>
      <c r="C20" s="47" t="s">
        <v>11</v>
      </c>
      <c r="D20" s="47" t="s">
        <v>11</v>
      </c>
      <c r="E20" s="48" t="s">
        <v>11</v>
      </c>
      <c r="F20" s="48" t="s">
        <v>11</v>
      </c>
      <c r="G20" s="48" t="s">
        <v>11</v>
      </c>
      <c r="H20" s="47" t="s">
        <v>11</v>
      </c>
    </row>
    <row r="21" spans="1:8">
      <c r="A21" s="47">
        <f t="shared" si="0"/>
        <v>18</v>
      </c>
      <c r="B21" s="48" t="s">
        <v>11</v>
      </c>
      <c r="C21" s="47" t="s">
        <v>11</v>
      </c>
      <c r="D21" s="47" t="s">
        <v>11</v>
      </c>
      <c r="E21" s="48" t="s">
        <v>11</v>
      </c>
      <c r="F21" s="48" t="s">
        <v>11</v>
      </c>
      <c r="G21" s="48" t="s">
        <v>11</v>
      </c>
      <c r="H21" s="47" t="s">
        <v>11</v>
      </c>
    </row>
    <row r="22" spans="1:8">
      <c r="A22" s="47">
        <f t="shared" si="0"/>
        <v>19</v>
      </c>
      <c r="B22" s="48" t="s">
        <v>11</v>
      </c>
      <c r="C22" s="47" t="s">
        <v>11</v>
      </c>
      <c r="D22" s="47" t="s">
        <v>11</v>
      </c>
      <c r="E22" s="48" t="s">
        <v>11</v>
      </c>
      <c r="F22" s="48" t="s">
        <v>11</v>
      </c>
      <c r="G22" s="48" t="s">
        <v>11</v>
      </c>
      <c r="H22" s="47" t="s">
        <v>11</v>
      </c>
    </row>
    <row r="23" spans="1:8">
      <c r="A23" s="47">
        <f t="shared" si="0"/>
        <v>20</v>
      </c>
      <c r="B23" s="48" t="s">
        <v>11</v>
      </c>
      <c r="C23" s="47" t="s">
        <v>11</v>
      </c>
      <c r="D23" s="47" t="s">
        <v>11</v>
      </c>
      <c r="E23" s="48" t="s">
        <v>11</v>
      </c>
      <c r="F23" s="48" t="s">
        <v>11</v>
      </c>
      <c r="G23" s="48" t="s">
        <v>11</v>
      </c>
      <c r="H23" s="47" t="s">
        <v>11</v>
      </c>
    </row>
    <row r="24" spans="1:8">
      <c r="A24" s="47">
        <f t="shared" si="0"/>
        <v>21</v>
      </c>
      <c r="B24" s="48" t="s">
        <v>11</v>
      </c>
      <c r="C24" s="47" t="s">
        <v>11</v>
      </c>
      <c r="D24" s="47" t="s">
        <v>11</v>
      </c>
      <c r="E24" s="48" t="s">
        <v>11</v>
      </c>
      <c r="F24" s="48" t="s">
        <v>11</v>
      </c>
      <c r="G24" s="48" t="s">
        <v>11</v>
      </c>
      <c r="H24" s="47" t="s">
        <v>11</v>
      </c>
    </row>
    <row r="25" spans="1:8">
      <c r="A25" s="47">
        <f t="shared" si="0"/>
        <v>22</v>
      </c>
      <c r="B25" s="48" t="s">
        <v>11</v>
      </c>
      <c r="C25" s="47" t="s">
        <v>11</v>
      </c>
      <c r="D25" s="47" t="s">
        <v>11</v>
      </c>
      <c r="E25" s="48" t="s">
        <v>11</v>
      </c>
      <c r="F25" s="48" t="s">
        <v>11</v>
      </c>
      <c r="G25" s="48" t="s">
        <v>11</v>
      </c>
      <c r="H25" s="47" t="s">
        <v>11</v>
      </c>
    </row>
    <row r="26" spans="1:8">
      <c r="A26" s="47">
        <f t="shared" si="0"/>
        <v>23</v>
      </c>
      <c r="B26" s="48" t="s">
        <v>11</v>
      </c>
      <c r="C26" s="47" t="s">
        <v>11</v>
      </c>
      <c r="D26" s="47" t="s">
        <v>11</v>
      </c>
      <c r="E26" s="48" t="s">
        <v>11</v>
      </c>
      <c r="F26" s="48" t="s">
        <v>11</v>
      </c>
      <c r="G26" s="48" t="s">
        <v>11</v>
      </c>
      <c r="H26" s="47" t="s">
        <v>11</v>
      </c>
    </row>
    <row r="27" spans="1:8">
      <c r="A27" s="47">
        <f t="shared" si="0"/>
        <v>24</v>
      </c>
      <c r="B27" s="48" t="s">
        <v>11</v>
      </c>
      <c r="C27" s="47" t="s">
        <v>11</v>
      </c>
      <c r="D27" s="47" t="s">
        <v>11</v>
      </c>
      <c r="E27" s="48" t="s">
        <v>11</v>
      </c>
      <c r="F27" s="48" t="s">
        <v>11</v>
      </c>
      <c r="G27" s="48" t="s">
        <v>11</v>
      </c>
      <c r="H27" s="47" t="s">
        <v>11</v>
      </c>
    </row>
    <row r="28" spans="1:8">
      <c r="A28" s="47">
        <f t="shared" si="0"/>
        <v>25</v>
      </c>
      <c r="B28" s="48" t="s">
        <v>11</v>
      </c>
      <c r="C28" s="47" t="s">
        <v>11</v>
      </c>
      <c r="D28" s="47" t="s">
        <v>11</v>
      </c>
      <c r="E28" s="48" t="s">
        <v>11</v>
      </c>
      <c r="F28" s="48" t="s">
        <v>11</v>
      </c>
      <c r="G28" s="48" t="s">
        <v>11</v>
      </c>
      <c r="H28" s="47" t="s">
        <v>11</v>
      </c>
    </row>
  </sheetData>
  <phoneticPr fontI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B4F22-6F62-4AD0-81DE-CA84E1BFE3FD}">
  <dimension ref="A1:AY63"/>
  <sheetViews>
    <sheetView topLeftCell="A4" workbookViewId="0">
      <selection activeCell="A2" sqref="A2:M3"/>
    </sheetView>
  </sheetViews>
  <sheetFormatPr defaultColWidth="3.296875" defaultRowHeight="16.2"/>
  <cols>
    <col min="1" max="1" width="1" style="16" customWidth="1"/>
    <col min="2" max="38" width="3.296875" style="16"/>
    <col min="39" max="39" width="4.5" style="16" customWidth="1"/>
    <col min="40" max="48" width="3.296875" style="16"/>
    <col min="49" max="49" width="1.296875" style="16" customWidth="1"/>
    <col min="50" max="16384" width="3.296875" style="16"/>
  </cols>
  <sheetData>
    <row r="1" spans="1:49" ht="5.4" customHeight="1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5"/>
    </row>
    <row r="2" spans="1:49">
      <c r="A2" s="17"/>
      <c r="B2" s="80" t="s">
        <v>13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2"/>
      <c r="N2" s="80" t="s">
        <v>16</v>
      </c>
      <c r="O2" s="81"/>
      <c r="P2" s="81"/>
      <c r="Q2" s="81"/>
      <c r="R2" s="81"/>
      <c r="S2" s="82"/>
      <c r="T2" s="80" t="s">
        <v>15</v>
      </c>
      <c r="U2" s="81"/>
      <c r="V2" s="81"/>
      <c r="W2" s="81"/>
      <c r="X2" s="81"/>
      <c r="Y2" s="82"/>
      <c r="Z2" s="51" t="s">
        <v>21</v>
      </c>
      <c r="AA2" s="52"/>
      <c r="AB2" s="52"/>
      <c r="AC2" s="51" t="s">
        <v>14</v>
      </c>
      <c r="AD2" s="52"/>
      <c r="AE2" s="52"/>
      <c r="AF2" s="52"/>
      <c r="AG2" s="52"/>
      <c r="AH2" s="52"/>
      <c r="AI2" s="52"/>
      <c r="AJ2" s="53"/>
      <c r="AK2" s="80" t="s">
        <v>17</v>
      </c>
      <c r="AL2" s="81"/>
      <c r="AM2" s="82"/>
      <c r="AN2" s="80" t="s">
        <v>18</v>
      </c>
      <c r="AO2" s="81"/>
      <c r="AP2" s="82"/>
      <c r="AQ2" s="80" t="s">
        <v>19</v>
      </c>
      <c r="AR2" s="81"/>
      <c r="AS2" s="82"/>
      <c r="AT2" s="80" t="s">
        <v>20</v>
      </c>
      <c r="AU2" s="81"/>
      <c r="AV2" s="82"/>
      <c r="AW2" s="18"/>
    </row>
    <row r="3" spans="1:49">
      <c r="A3" s="17"/>
      <c r="B3" s="83" t="s">
        <v>31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5"/>
      <c r="N3" s="83" t="s">
        <v>33</v>
      </c>
      <c r="O3" s="84"/>
      <c r="P3" s="84"/>
      <c r="Q3" s="84"/>
      <c r="R3" s="84"/>
      <c r="S3" s="85"/>
      <c r="T3" s="83" t="s">
        <v>34</v>
      </c>
      <c r="U3" s="84"/>
      <c r="V3" s="84"/>
      <c r="W3" s="84"/>
      <c r="X3" s="84"/>
      <c r="Y3" s="85"/>
      <c r="Z3" s="54" t="s">
        <v>35</v>
      </c>
      <c r="AA3" s="55"/>
      <c r="AB3" s="55"/>
      <c r="AC3" s="69" t="s">
        <v>36</v>
      </c>
      <c r="AD3" s="55"/>
      <c r="AE3" s="55"/>
      <c r="AF3" s="55"/>
      <c r="AG3" s="55"/>
      <c r="AH3" s="55"/>
      <c r="AI3" s="55"/>
      <c r="AJ3" s="56"/>
      <c r="AK3" s="86">
        <v>46210</v>
      </c>
      <c r="AL3" s="84"/>
      <c r="AM3" s="85"/>
      <c r="AN3" s="83" t="s">
        <v>32</v>
      </c>
      <c r="AO3" s="84"/>
      <c r="AP3" s="85"/>
      <c r="AQ3" s="83"/>
      <c r="AR3" s="84"/>
      <c r="AS3" s="85"/>
      <c r="AT3" s="83"/>
      <c r="AU3" s="84"/>
      <c r="AV3" s="85"/>
      <c r="AW3" s="18"/>
    </row>
    <row r="4" spans="1:49">
      <c r="A4" s="17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8"/>
    </row>
    <row r="5" spans="1:49">
      <c r="A5" s="17"/>
      <c r="B5" s="78" t="s">
        <v>23</v>
      </c>
      <c r="C5" s="79"/>
      <c r="D5" s="79"/>
      <c r="E5" s="79"/>
      <c r="F5" s="79"/>
      <c r="G5" s="79"/>
      <c r="H5" s="79"/>
      <c r="I5" s="7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8"/>
    </row>
    <row r="6" spans="1:49">
      <c r="A6" s="17"/>
      <c r="B6" s="87" t="s">
        <v>55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9"/>
      <c r="AW6" s="18"/>
    </row>
    <row r="7" spans="1:49">
      <c r="A7" s="17"/>
      <c r="B7" s="90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2"/>
      <c r="AW7" s="18"/>
    </row>
    <row r="8" spans="1:49">
      <c r="A8" s="17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8"/>
    </row>
    <row r="9" spans="1:49">
      <c r="A9" s="17"/>
      <c r="B9" s="78" t="s">
        <v>24</v>
      </c>
      <c r="C9" s="79"/>
      <c r="D9" s="79"/>
      <c r="E9" s="79"/>
      <c r="F9" s="79"/>
      <c r="G9" s="79"/>
      <c r="H9" s="79"/>
      <c r="I9" s="7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8"/>
    </row>
    <row r="10" spans="1:49" ht="16.2" customHeight="1">
      <c r="A10" s="17"/>
      <c r="B10" s="87" t="s">
        <v>57</v>
      </c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9"/>
      <c r="AW10" s="18"/>
    </row>
    <row r="11" spans="1:49">
      <c r="A11" s="17"/>
      <c r="B11" s="93" t="s">
        <v>56</v>
      </c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94"/>
      <c r="AS11" s="94"/>
      <c r="AT11" s="94"/>
      <c r="AU11" s="94"/>
      <c r="AV11" s="95"/>
      <c r="AW11" s="18"/>
    </row>
    <row r="12" spans="1:49">
      <c r="A12" s="17"/>
      <c r="B12" s="90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2"/>
      <c r="AW12" s="18"/>
    </row>
    <row r="13" spans="1:49">
      <c r="A13" s="17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8"/>
    </row>
    <row r="14" spans="1:49">
      <c r="A14" s="17"/>
      <c r="B14" s="78" t="s">
        <v>25</v>
      </c>
      <c r="C14" s="79"/>
      <c r="D14" s="79"/>
      <c r="E14" s="79"/>
      <c r="F14" s="79"/>
      <c r="G14" s="79"/>
      <c r="H14" s="79"/>
      <c r="I14" s="7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8"/>
    </row>
    <row r="15" spans="1:49">
      <c r="A15" s="17"/>
      <c r="B15" s="87" t="s">
        <v>37</v>
      </c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9"/>
      <c r="AW15" s="18"/>
    </row>
    <row r="16" spans="1:49">
      <c r="A16" s="17"/>
      <c r="B16" s="93" t="s">
        <v>38</v>
      </c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5"/>
      <c r="AW16" s="18"/>
    </row>
    <row r="17" spans="1:51">
      <c r="A17" s="17"/>
      <c r="B17" s="90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2"/>
      <c r="AW17" s="18"/>
    </row>
    <row r="18" spans="1:51">
      <c r="A18" s="17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8"/>
    </row>
    <row r="19" spans="1:51">
      <c r="A19" s="17"/>
      <c r="B19" s="78" t="s">
        <v>77</v>
      </c>
      <c r="C19" s="79"/>
      <c r="D19" s="79"/>
      <c r="E19" s="79"/>
      <c r="F19" s="79"/>
      <c r="G19" s="79"/>
      <c r="H19" s="79"/>
      <c r="I19" s="7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8"/>
    </row>
    <row r="20" spans="1:51" ht="16.2" customHeight="1">
      <c r="A20" s="17"/>
      <c r="B20" s="70" t="s">
        <v>39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8"/>
      <c r="AS20" s="58"/>
      <c r="AT20" s="58"/>
      <c r="AU20" s="58"/>
      <c r="AV20" s="59"/>
      <c r="AW20" s="18"/>
    </row>
    <row r="21" spans="1:51" ht="16.2" customHeight="1">
      <c r="A21" s="17"/>
      <c r="B21" s="60" t="s">
        <v>40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2"/>
      <c r="AS21" s="62"/>
      <c r="AT21" s="62"/>
      <c r="AU21" s="62"/>
      <c r="AV21" s="63"/>
      <c r="AW21" s="18"/>
    </row>
    <row r="22" spans="1:51">
      <c r="A22" s="17"/>
      <c r="B22" s="64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6"/>
      <c r="AW22" s="18"/>
    </row>
    <row r="23" spans="1:51">
      <c r="A23" s="17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8"/>
    </row>
    <row r="24" spans="1:51">
      <c r="A24" s="17"/>
      <c r="B24" s="78" t="s">
        <v>26</v>
      </c>
      <c r="C24" s="79"/>
      <c r="D24" s="79"/>
      <c r="E24" s="79"/>
      <c r="F24" s="79"/>
      <c r="G24" s="79"/>
      <c r="H24" s="79"/>
      <c r="I24" s="7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8"/>
    </row>
    <row r="25" spans="1:51" ht="21" customHeight="1">
      <c r="A25" s="17"/>
      <c r="B25" s="97" t="s">
        <v>22</v>
      </c>
      <c r="C25" s="99"/>
      <c r="D25" s="97" t="s">
        <v>41</v>
      </c>
      <c r="E25" s="98"/>
      <c r="F25" s="98"/>
      <c r="G25" s="98"/>
      <c r="H25" s="98"/>
      <c r="I25" s="98"/>
      <c r="J25" s="98"/>
      <c r="K25" s="98"/>
      <c r="L25" s="98"/>
      <c r="M25" s="98"/>
      <c r="N25" s="99"/>
      <c r="O25" s="97" t="s">
        <v>42</v>
      </c>
      <c r="P25" s="98"/>
      <c r="Q25" s="98"/>
      <c r="R25" s="98"/>
      <c r="S25" s="98"/>
      <c r="T25" s="98"/>
      <c r="U25" s="98"/>
      <c r="V25" s="98"/>
      <c r="W25" s="98"/>
      <c r="X25" s="99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67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8"/>
    </row>
    <row r="26" spans="1:51" ht="21" customHeight="1">
      <c r="A26" s="17"/>
      <c r="B26" s="83">
        <v>1</v>
      </c>
      <c r="C26" s="85"/>
      <c r="D26" s="100" t="s">
        <v>43</v>
      </c>
      <c r="E26" s="101"/>
      <c r="F26" s="101"/>
      <c r="G26" s="101"/>
      <c r="H26" s="101"/>
      <c r="I26" s="101"/>
      <c r="J26" s="101"/>
      <c r="K26" s="101"/>
      <c r="L26" s="101"/>
      <c r="M26" s="101"/>
      <c r="N26" s="102"/>
      <c r="O26" s="100" t="s">
        <v>47</v>
      </c>
      <c r="P26" s="101"/>
      <c r="Q26" s="101"/>
      <c r="R26" s="101"/>
      <c r="S26" s="101"/>
      <c r="T26" s="101"/>
      <c r="U26" s="101"/>
      <c r="V26" s="101"/>
      <c r="W26" s="101"/>
      <c r="X26" s="102"/>
      <c r="Y26" s="96"/>
      <c r="Z26" s="96"/>
      <c r="AA26" s="96"/>
      <c r="AB26" s="96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8"/>
    </row>
    <row r="27" spans="1:51" ht="21" customHeight="1">
      <c r="A27" s="17"/>
      <c r="B27" s="83">
        <v>2</v>
      </c>
      <c r="C27" s="85"/>
      <c r="D27" s="100" t="s">
        <v>44</v>
      </c>
      <c r="E27" s="101"/>
      <c r="F27" s="101"/>
      <c r="G27" s="101"/>
      <c r="H27" s="101"/>
      <c r="I27" s="101"/>
      <c r="J27" s="101"/>
      <c r="K27" s="101"/>
      <c r="L27" s="101"/>
      <c r="M27" s="101"/>
      <c r="N27" s="102"/>
      <c r="O27" s="100" t="s">
        <v>48</v>
      </c>
      <c r="P27" s="101"/>
      <c r="Q27" s="101"/>
      <c r="R27" s="101"/>
      <c r="S27" s="101"/>
      <c r="T27" s="101"/>
      <c r="U27" s="101"/>
      <c r="V27" s="101"/>
      <c r="W27" s="101"/>
      <c r="X27" s="102"/>
      <c r="Y27" s="96"/>
      <c r="Z27" s="96"/>
      <c r="AA27" s="96"/>
      <c r="AB27" s="96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8"/>
    </row>
    <row r="28" spans="1:51" ht="21" customHeight="1">
      <c r="A28" s="17"/>
      <c r="B28" s="83">
        <v>3</v>
      </c>
      <c r="C28" s="85"/>
      <c r="D28" s="100" t="s">
        <v>45</v>
      </c>
      <c r="E28" s="101"/>
      <c r="F28" s="101"/>
      <c r="G28" s="101"/>
      <c r="H28" s="101"/>
      <c r="I28" s="101"/>
      <c r="J28" s="101"/>
      <c r="K28" s="101"/>
      <c r="L28" s="101"/>
      <c r="M28" s="101"/>
      <c r="N28" s="102"/>
      <c r="O28" s="100" t="s">
        <v>49</v>
      </c>
      <c r="P28" s="101"/>
      <c r="Q28" s="101"/>
      <c r="R28" s="101"/>
      <c r="S28" s="101"/>
      <c r="T28" s="101"/>
      <c r="U28" s="101"/>
      <c r="V28" s="101"/>
      <c r="W28" s="101"/>
      <c r="X28" s="102"/>
      <c r="Y28" s="96"/>
      <c r="Z28" s="96"/>
      <c r="AA28" s="96"/>
      <c r="AB28" s="96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8"/>
    </row>
    <row r="29" spans="1:51" ht="21" customHeight="1">
      <c r="A29" s="17"/>
      <c r="B29" s="83">
        <v>4</v>
      </c>
      <c r="C29" s="85"/>
      <c r="D29" s="100" t="s">
        <v>46</v>
      </c>
      <c r="E29" s="101"/>
      <c r="F29" s="101"/>
      <c r="G29" s="101"/>
      <c r="H29" s="101"/>
      <c r="I29" s="101"/>
      <c r="J29" s="101"/>
      <c r="K29" s="101"/>
      <c r="L29" s="101"/>
      <c r="M29" s="101"/>
      <c r="N29" s="102"/>
      <c r="O29" s="100" t="s">
        <v>50</v>
      </c>
      <c r="P29" s="101"/>
      <c r="Q29" s="101"/>
      <c r="R29" s="101"/>
      <c r="S29" s="101"/>
      <c r="T29" s="101"/>
      <c r="U29" s="101"/>
      <c r="V29" s="101"/>
      <c r="W29" s="101"/>
      <c r="X29" s="102"/>
      <c r="Y29" s="96"/>
      <c r="Z29" s="96"/>
      <c r="AA29" s="96"/>
      <c r="AB29" s="96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8"/>
    </row>
    <row r="30" spans="1:51" ht="16.8" thickBot="1">
      <c r="A30" s="39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1"/>
      <c r="AX30" s="34"/>
    </row>
    <row r="31" spans="1:5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</row>
    <row r="32" spans="1:5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</row>
    <row r="33" spans="1:5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</row>
    <row r="34" spans="1:5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</row>
    <row r="35" spans="1:5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</row>
    <row r="36" spans="1:5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</row>
    <row r="37" spans="1:5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</row>
    <row r="38" spans="1:5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</row>
    <row r="39" spans="1:5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</row>
    <row r="40" spans="1:5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</row>
    <row r="41" spans="1:5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</row>
    <row r="42" spans="1:5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</row>
    <row r="43" spans="1:5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</row>
    <row r="44" spans="1:5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</row>
    <row r="45" spans="1:5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</row>
    <row r="46" spans="1:5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</row>
    <row r="47" spans="1:5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</row>
    <row r="48" spans="1:5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</row>
    <row r="49" spans="1:5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</row>
    <row r="50" spans="1:5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</row>
    <row r="51" spans="1:5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</row>
    <row r="52" spans="1:5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</row>
    <row r="53" spans="1:5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</row>
    <row r="54" spans="1:5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</row>
    <row r="55" spans="1:5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</row>
    <row r="56" spans="1:5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</row>
    <row r="57" spans="1:5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</row>
    <row r="58" spans="1:5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</row>
    <row r="59" spans="1:5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</row>
    <row r="60" spans="1:5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</row>
    <row r="61" spans="1:5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</row>
    <row r="62" spans="1:5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</row>
    <row r="63" spans="1:5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</row>
  </sheetData>
  <sheetProtection sheet="1" objects="1" scenarios="1"/>
  <mergeCells count="48">
    <mergeCell ref="Y29:AB29"/>
    <mergeCell ref="B24:I24"/>
    <mergeCell ref="Y25:AB25"/>
    <mergeCell ref="B29:C29"/>
    <mergeCell ref="D29:N29"/>
    <mergeCell ref="O29:X29"/>
    <mergeCell ref="B14:I14"/>
    <mergeCell ref="B15:AV15"/>
    <mergeCell ref="B16:AV16"/>
    <mergeCell ref="B17:AV17"/>
    <mergeCell ref="B19:I19"/>
    <mergeCell ref="AC25:AK25"/>
    <mergeCell ref="O25:X25"/>
    <mergeCell ref="D25:N25"/>
    <mergeCell ref="B25:C25"/>
    <mergeCell ref="B28:C28"/>
    <mergeCell ref="D28:N28"/>
    <mergeCell ref="O28:X28"/>
    <mergeCell ref="B26:C26"/>
    <mergeCell ref="D26:N26"/>
    <mergeCell ref="O26:X26"/>
    <mergeCell ref="B27:C27"/>
    <mergeCell ref="D27:N27"/>
    <mergeCell ref="O27:X27"/>
    <mergeCell ref="Y26:AB26"/>
    <mergeCell ref="Y27:AB27"/>
    <mergeCell ref="Y28:AB28"/>
    <mergeCell ref="B6:AV6"/>
    <mergeCell ref="B7:AV7"/>
    <mergeCell ref="B9:I9"/>
    <mergeCell ref="B10:AV10"/>
    <mergeCell ref="B12:AV12"/>
    <mergeCell ref="B11:AV11"/>
    <mergeCell ref="B5:I5"/>
    <mergeCell ref="AT2:AV2"/>
    <mergeCell ref="B3:M3"/>
    <mergeCell ref="N3:S3"/>
    <mergeCell ref="T3:Y3"/>
    <mergeCell ref="AK3:AM3"/>
    <mergeCell ref="AN3:AP3"/>
    <mergeCell ref="AQ3:AS3"/>
    <mergeCell ref="AT3:AV3"/>
    <mergeCell ref="B2:M2"/>
    <mergeCell ref="N2:S2"/>
    <mergeCell ref="T2:Y2"/>
    <mergeCell ref="AK2:AM2"/>
    <mergeCell ref="AN2:AP2"/>
    <mergeCell ref="AQ2:A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DC811-F3A4-4DB5-B146-57300F0DD476}">
  <dimension ref="A1:AZ42"/>
  <sheetViews>
    <sheetView tabSelected="1" zoomScale="110" zoomScaleNormal="110" workbookViewId="0">
      <selection activeCell="AE22" sqref="AE22"/>
    </sheetView>
  </sheetViews>
  <sheetFormatPr defaultColWidth="3.296875" defaultRowHeight="16.2"/>
  <cols>
    <col min="1" max="1" width="1" style="16" customWidth="1"/>
    <col min="2" max="41" width="3.3984375" style="16" customWidth="1"/>
    <col min="42" max="42" width="4" style="16" customWidth="1"/>
    <col min="43" max="50" width="3.3984375" style="16" customWidth="1"/>
    <col min="51" max="51" width="5.8984375" style="16" customWidth="1"/>
    <col min="52" max="52" width="1.19921875" style="16" customWidth="1"/>
    <col min="53" max="16384" width="3.296875" style="16"/>
  </cols>
  <sheetData>
    <row r="1" spans="1:52" ht="5.4" customHeight="1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4"/>
      <c r="AZ1" s="15"/>
    </row>
    <row r="2" spans="1:52">
      <c r="A2" s="17"/>
      <c r="B2" s="103" t="s">
        <v>13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 t="s">
        <v>16</v>
      </c>
      <c r="S2" s="103"/>
      <c r="T2" s="103"/>
      <c r="U2" s="103"/>
      <c r="V2" s="103"/>
      <c r="W2" s="103"/>
      <c r="X2" s="80" t="s">
        <v>15</v>
      </c>
      <c r="Y2" s="81"/>
      <c r="Z2" s="81"/>
      <c r="AA2" s="81"/>
      <c r="AB2" s="81"/>
      <c r="AC2" s="82"/>
      <c r="AD2" s="103" t="s">
        <v>14</v>
      </c>
      <c r="AE2" s="103"/>
      <c r="AF2" s="103"/>
      <c r="AG2" s="103"/>
      <c r="AH2" s="103"/>
      <c r="AI2" s="103"/>
      <c r="AJ2" s="103"/>
      <c r="AK2" s="103"/>
      <c r="AL2" s="103"/>
      <c r="AM2" s="103"/>
      <c r="AN2" s="103" t="s">
        <v>17</v>
      </c>
      <c r="AO2" s="103"/>
      <c r="AP2" s="103"/>
      <c r="AQ2" s="103" t="s">
        <v>18</v>
      </c>
      <c r="AR2" s="103"/>
      <c r="AS2" s="103"/>
      <c r="AT2" s="103" t="s">
        <v>19</v>
      </c>
      <c r="AU2" s="103"/>
      <c r="AV2" s="103"/>
      <c r="AW2" s="103" t="s">
        <v>20</v>
      </c>
      <c r="AX2" s="103"/>
      <c r="AY2" s="103"/>
      <c r="AZ2" s="18"/>
    </row>
    <row r="3" spans="1:52">
      <c r="A3" s="17"/>
      <c r="B3" s="83" t="s">
        <v>31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3" t="s">
        <v>33</v>
      </c>
      <c r="S3" s="84"/>
      <c r="T3" s="84"/>
      <c r="U3" s="84"/>
      <c r="V3" s="84"/>
      <c r="W3" s="85"/>
      <c r="X3" s="83" t="s">
        <v>34</v>
      </c>
      <c r="Y3" s="84"/>
      <c r="Z3" s="84"/>
      <c r="AA3" s="84"/>
      <c r="AB3" s="84"/>
      <c r="AC3" s="85"/>
      <c r="AD3" s="83" t="s">
        <v>36</v>
      </c>
      <c r="AE3" s="84"/>
      <c r="AF3" s="84"/>
      <c r="AG3" s="84"/>
      <c r="AH3" s="84"/>
      <c r="AI3" s="84"/>
      <c r="AJ3" s="84"/>
      <c r="AK3" s="84"/>
      <c r="AL3" s="84"/>
      <c r="AM3" s="85"/>
      <c r="AN3" s="86">
        <v>46210</v>
      </c>
      <c r="AO3" s="84"/>
      <c r="AP3" s="85"/>
      <c r="AQ3" s="83" t="s">
        <v>32</v>
      </c>
      <c r="AR3" s="84"/>
      <c r="AS3" s="85"/>
      <c r="AT3" s="104"/>
      <c r="AU3" s="104"/>
      <c r="AV3" s="104"/>
      <c r="AW3" s="104"/>
      <c r="AX3" s="104"/>
      <c r="AY3" s="104"/>
      <c r="AZ3" s="18"/>
    </row>
    <row r="4" spans="1:52">
      <c r="A4" s="17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8"/>
    </row>
    <row r="5" spans="1:52">
      <c r="A5" s="17"/>
      <c r="B5" s="20"/>
      <c r="C5" s="21"/>
      <c r="D5" s="21"/>
      <c r="E5" s="21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3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71"/>
      <c r="AE5" s="22"/>
      <c r="AF5" s="22"/>
      <c r="AG5" s="22"/>
      <c r="AH5" s="22"/>
      <c r="AI5" s="22"/>
      <c r="AJ5" s="22"/>
      <c r="AK5" s="22"/>
      <c r="AL5" s="22"/>
      <c r="AM5" s="22"/>
      <c r="AN5" s="23" t="s">
        <v>12</v>
      </c>
      <c r="AO5" s="23"/>
      <c r="AP5" s="23"/>
      <c r="AQ5" s="23"/>
      <c r="AR5" s="23"/>
      <c r="AS5" s="23"/>
      <c r="AT5" s="22"/>
      <c r="AU5" s="22"/>
      <c r="AV5" s="22"/>
      <c r="AW5" s="22"/>
      <c r="AX5" s="22"/>
      <c r="AY5" s="24"/>
      <c r="AZ5" s="18"/>
    </row>
    <row r="6" spans="1:52">
      <c r="A6" s="17"/>
      <c r="B6" s="105"/>
      <c r="C6" s="106"/>
      <c r="D6" s="106"/>
      <c r="E6" s="106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6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7"/>
      <c r="AZ6" s="18"/>
    </row>
    <row r="7" spans="1:52">
      <c r="A7" s="17"/>
      <c r="B7" s="28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43" t="s">
        <v>52</v>
      </c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29"/>
      <c r="AZ7" s="18"/>
    </row>
    <row r="8" spans="1:52">
      <c r="A8" s="17"/>
      <c r="B8" s="28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28"/>
      <c r="AE8" s="19" t="s">
        <v>51</v>
      </c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29"/>
      <c r="AZ8" s="18"/>
    </row>
    <row r="9" spans="1:52">
      <c r="A9" s="17"/>
      <c r="B9" s="28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28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29"/>
      <c r="AZ9" s="18"/>
    </row>
    <row r="10" spans="1:52">
      <c r="A10" s="17"/>
      <c r="B10" s="28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42" t="s">
        <v>62</v>
      </c>
      <c r="AE10" s="30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29"/>
      <c r="AZ10" s="18"/>
    </row>
    <row r="11" spans="1:52">
      <c r="A11" s="17"/>
      <c r="B11" s="28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28"/>
      <c r="AE11" s="34" t="s">
        <v>68</v>
      </c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29"/>
      <c r="AZ11" s="18"/>
    </row>
    <row r="12" spans="1:52">
      <c r="A12" s="17"/>
      <c r="B12" s="28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32"/>
      <c r="AE12" s="19" t="s">
        <v>67</v>
      </c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29"/>
      <c r="AZ12" s="18"/>
    </row>
    <row r="13" spans="1:52">
      <c r="A13" s="17"/>
      <c r="B13" s="28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28"/>
      <c r="AE13" s="34" t="s">
        <v>70</v>
      </c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29"/>
      <c r="AZ13" s="18"/>
    </row>
    <row r="14" spans="1:52">
      <c r="A14" s="17"/>
      <c r="B14" s="28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28"/>
      <c r="AE14" s="19" t="s">
        <v>69</v>
      </c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29"/>
      <c r="AZ14" s="18"/>
    </row>
    <row r="15" spans="1:52">
      <c r="A15" s="17"/>
      <c r="B15" s="28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28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29"/>
      <c r="AZ15" s="18"/>
    </row>
    <row r="16" spans="1:52">
      <c r="A16" s="17"/>
      <c r="B16" s="28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42" t="s">
        <v>79</v>
      </c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29"/>
      <c r="AZ16" s="18"/>
    </row>
    <row r="17" spans="1:52">
      <c r="A17" s="17"/>
      <c r="B17" s="28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28"/>
      <c r="AE17" s="34" t="s">
        <v>61</v>
      </c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29"/>
      <c r="AZ17" s="18"/>
    </row>
    <row r="18" spans="1:52">
      <c r="A18" s="17"/>
      <c r="B18" s="28"/>
      <c r="C18" s="19"/>
      <c r="D18" s="19"/>
      <c r="E18" s="19"/>
      <c r="F18" s="19"/>
      <c r="G18" s="19"/>
      <c r="H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28"/>
      <c r="AE18" s="19" t="s">
        <v>58</v>
      </c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29"/>
      <c r="AZ18" s="18"/>
    </row>
    <row r="19" spans="1:52">
      <c r="A19" s="17"/>
      <c r="B19" s="28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33"/>
      <c r="X19" s="19"/>
      <c r="Y19" s="19"/>
      <c r="Z19" s="19"/>
      <c r="AA19" s="19"/>
      <c r="AB19" s="19"/>
      <c r="AC19" s="19"/>
      <c r="AD19" s="28"/>
      <c r="AE19" s="19" t="s">
        <v>59</v>
      </c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29"/>
      <c r="AZ19" s="18"/>
    </row>
    <row r="20" spans="1:52">
      <c r="A20" s="17"/>
      <c r="B20" s="28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33"/>
      <c r="X20" s="19"/>
      <c r="Y20" s="19"/>
      <c r="Z20" s="19"/>
      <c r="AA20" s="19"/>
      <c r="AB20" s="19"/>
      <c r="AC20" s="19"/>
      <c r="AD20" s="28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29"/>
      <c r="AZ20" s="18"/>
    </row>
    <row r="21" spans="1:52">
      <c r="A21" s="17"/>
      <c r="B21" s="28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43" t="s">
        <v>63</v>
      </c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29"/>
      <c r="AZ21" s="18"/>
    </row>
    <row r="22" spans="1:52">
      <c r="A22" s="17"/>
      <c r="B22" s="28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28"/>
      <c r="AE22" s="19" t="s">
        <v>78</v>
      </c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29"/>
      <c r="AZ22" s="18"/>
    </row>
    <row r="23" spans="1:52">
      <c r="A23" s="17"/>
      <c r="B23" s="28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28"/>
      <c r="AE23" s="34" t="s">
        <v>71</v>
      </c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29"/>
      <c r="AZ23" s="75"/>
    </row>
    <row r="24" spans="1:52">
      <c r="A24" s="17"/>
      <c r="B24" s="28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28"/>
      <c r="AE24" s="19" t="s">
        <v>72</v>
      </c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29"/>
      <c r="AZ24" s="18"/>
    </row>
    <row r="25" spans="1:52">
      <c r="A25" s="17"/>
      <c r="B25" s="2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28"/>
      <c r="AE25" s="30" t="s">
        <v>64</v>
      </c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29"/>
      <c r="AZ25" s="18"/>
    </row>
    <row r="26" spans="1:52">
      <c r="A26" s="17"/>
      <c r="B26" s="28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28"/>
      <c r="AE26" s="30" t="s">
        <v>65</v>
      </c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29"/>
      <c r="AZ26" s="18"/>
    </row>
    <row r="27" spans="1:52">
      <c r="A27" s="17"/>
      <c r="B27" s="28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28"/>
      <c r="AE27" s="19" t="s">
        <v>75</v>
      </c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29"/>
      <c r="AZ27" s="18"/>
    </row>
    <row r="28" spans="1:52">
      <c r="A28" s="17"/>
      <c r="B28" s="28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28"/>
      <c r="AE28" s="19" t="s">
        <v>76</v>
      </c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29"/>
      <c r="AZ28" s="18"/>
    </row>
    <row r="29" spans="1:52">
      <c r="A29" s="17"/>
      <c r="B29" s="28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28"/>
      <c r="AE29" s="30" t="s">
        <v>66</v>
      </c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29"/>
      <c r="AZ29" s="18"/>
    </row>
    <row r="30" spans="1:52">
      <c r="A30" s="17"/>
      <c r="B30" s="28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28"/>
      <c r="AE30" s="19" t="s">
        <v>60</v>
      </c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29"/>
      <c r="AZ30" s="18"/>
    </row>
    <row r="31" spans="1:52">
      <c r="A31" s="17"/>
      <c r="B31" s="28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28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29"/>
      <c r="AZ31" s="18"/>
    </row>
    <row r="32" spans="1:52">
      <c r="A32" s="17"/>
      <c r="B32" s="28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28"/>
      <c r="AE32" s="73" t="s">
        <v>74</v>
      </c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19"/>
      <c r="AY32" s="29"/>
      <c r="AZ32" s="18"/>
    </row>
    <row r="33" spans="1:52">
      <c r="A33" s="17"/>
      <c r="B33" s="28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28"/>
      <c r="AE33" s="72" t="s">
        <v>73</v>
      </c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19"/>
      <c r="AY33" s="29"/>
      <c r="AZ33" s="18"/>
    </row>
    <row r="34" spans="1:52">
      <c r="A34" s="17"/>
      <c r="B34" s="28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74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29"/>
      <c r="AZ34" s="18"/>
    </row>
    <row r="35" spans="1:52">
      <c r="A35" s="17"/>
      <c r="B35" s="28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28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29"/>
      <c r="AZ35" s="18"/>
    </row>
    <row r="36" spans="1:52">
      <c r="A36" s="17"/>
      <c r="B36" s="28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28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29"/>
      <c r="AZ36" s="18"/>
    </row>
    <row r="37" spans="1:52">
      <c r="A37" s="17"/>
      <c r="B37" s="28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28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29"/>
      <c r="AZ37" s="18"/>
    </row>
    <row r="38" spans="1:52">
      <c r="A38" s="17"/>
      <c r="B38" s="28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28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29"/>
      <c r="AZ38" s="18"/>
    </row>
    <row r="39" spans="1:52">
      <c r="A39" s="17"/>
      <c r="B39" s="28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28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29"/>
      <c r="AZ39" s="18"/>
    </row>
    <row r="40" spans="1:52">
      <c r="A40" s="17"/>
      <c r="B40" s="28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28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29"/>
      <c r="AZ40" s="18"/>
    </row>
    <row r="41" spans="1:52">
      <c r="A41" s="17"/>
      <c r="B41" s="36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6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8"/>
      <c r="AZ41" s="18"/>
    </row>
    <row r="42" spans="1:52" ht="6" customHeight="1" thickBot="1">
      <c r="A42" s="39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1"/>
    </row>
  </sheetData>
  <mergeCells count="17">
    <mergeCell ref="B6:E6"/>
    <mergeCell ref="AT2:AV2"/>
    <mergeCell ref="AW2:AY2"/>
    <mergeCell ref="B3:Q3"/>
    <mergeCell ref="R3:W3"/>
    <mergeCell ref="X3:AC3"/>
    <mergeCell ref="AD3:AM3"/>
    <mergeCell ref="AN3:AP3"/>
    <mergeCell ref="AQ3:AS3"/>
    <mergeCell ref="AT3:AV3"/>
    <mergeCell ref="AW3:AY3"/>
    <mergeCell ref="B2:Q2"/>
    <mergeCell ref="R2:W2"/>
    <mergeCell ref="X2:AC2"/>
    <mergeCell ref="AD2:AM2"/>
    <mergeCell ref="AN2:AP2"/>
    <mergeCell ref="AQ2:AS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表紙</vt:lpstr>
      <vt:lpstr>改訂履歴</vt:lpstr>
      <vt:lpstr>処理概要</vt:lpstr>
      <vt:lpstr>処理フロー</vt:lpstr>
    </vt:vector>
  </TitlesOfParts>
  <Company>Creative Content Lab Tokyo;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Creative Content Lab Tokyo</dc:creator>
  <cp:lastModifiedBy>Tuan Anh Hoang</cp:lastModifiedBy>
  <cp:lastPrinted>2021-07-04T07:25:12Z</cp:lastPrinted>
  <dcterms:created xsi:type="dcterms:W3CDTF">2021-03-12T01:14:50Z</dcterms:created>
  <dcterms:modified xsi:type="dcterms:W3CDTF">2026-07-10T06:47:05Z</dcterms:modified>
</cp:coreProperties>
</file>